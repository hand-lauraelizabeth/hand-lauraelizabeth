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18116c0f4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c9cf1d1ed4a496c"/>
    <x:sheet xmlns:r="http://schemas.openxmlformats.org/officeDocument/2006/relationships" name="REVIEW QUESTION" sheetId="2" r:id="R95e6c70d4b7c4a6b"/>
    <x:sheet xmlns:r="http://schemas.openxmlformats.org/officeDocument/2006/relationships" name="SEARCH LOG" sheetId="3" r:id="Ra91914d0aa054760"/>
    <x:sheet xmlns:r="http://schemas.openxmlformats.org/officeDocument/2006/relationships" name="SOURCES" sheetId="4" r:id="Rd726a37995244e0b"/>
    <x:sheet xmlns:r="http://schemas.openxmlformats.org/officeDocument/2006/relationships" name="FINDINGS" sheetId="5" r:id="R45c92dd0698848c8"/>
    <x:sheet xmlns:r="http://schemas.openxmlformats.org/officeDocument/2006/relationships" name="THEMES" sheetId="6" r:id="R52e326fabb744ab3"/>
    <x:sheet xmlns:r="http://schemas.openxmlformats.org/officeDocument/2006/relationships" name="CLAIM MAP" sheetId="7" r:id="R96e4509831cc4c21"/>
    <x:sheet xmlns:r="http://schemas.openxmlformats.org/officeDocument/2006/relationships" name="METHODS" sheetId="8" r:id="R567c8a2c3c784ae4"/>
    <x:sheet xmlns:r="http://schemas.openxmlformats.org/officeDocument/2006/relationships" name="SYNTHESIS" sheetId="9" r:id="Rc1cce56358d64443"/>
    <x:sheet xmlns:r="http://schemas.openxmlformats.org/officeDocument/2006/relationships" name="GAPS" sheetId="10" r:id="R662f74a736564a65"/>
    <x:sheet xmlns:r="http://schemas.openxmlformats.org/officeDocument/2006/relationships" name="DRAFT PLAN" sheetId="11" r:id="R7d26883da6574973"/>
    <x:sheet xmlns:r="http://schemas.openxmlformats.org/officeDocument/2006/relationships" name="DASHBOARD" sheetId="12" r:id="R5c875de494ed4bb6"/>
    <x:sheet xmlns:r="http://schemas.openxmlformats.org/officeDocument/2006/relationships" name="EXAMPLE" sheetId="13" r:id="Rccb535261a054437"/>
    <x:sheet xmlns:r="http://schemas.openxmlformats.org/officeDocument/2006/relationships" name="_LISTS" sheetId="14" r:id="Rf4900cd81fa6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%"/>
    <x:numFmt numFmtId="202" formatCode="0.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8"/>
      <x:color rgb="FF17324D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  <x:font>
      <x:b/>
      <x:sz val="18"/>
      <x:color rgb="FFFFFFFF"/>
      <x:name val="Aptos"/>
    </x:font>
    <x:font>
      <x:b/>
      <x:sz val="14"/>
      <x:color rgb="FFFFFFFF"/>
      <x:name val="Aptos"/>
    </x:font>
    <x:font>
      <x:b/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A"/>
      </x:patternFill>
    </x:fill>
    <x:fill>
      <x:patternFill patternType="solid">
        <x:fgColor rgb="FFFFF4CC"/>
      </x:patternFill>
    </x:fill>
    <x:fill>
      <x:patternFill patternType="solid">
        <x:fgColor rgb="FFE8F3E8"/>
      </x:patternFill>
    </x:fill>
    <x:fill>
      <x:patternFill patternType="solid">
        <x:fgColor rgb="FFF1ECF7"/>
      </x:patternFill>
    </x:fill>
    <x:fill>
      <x:patternFill patternType="solid">
        <x:fgColor rgb="FFFDE8E7"/>
      </x:patternFill>
    </x:fill>
    <x:fill>
      <x:patternFill patternType="solid">
        <x:fgColor rgb="FFD9E6F2"/>
      </x:patternFill>
    </x:fill>
    <x:fill>
      <x:patternFill patternType="solid">
        <x:fgColor rgb="FFF5F7F9"/>
      </x:patternFill>
    </x:fill>
  </x:fills>
  <x:borders count="2">
    <x:border/>
    <x:border/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8" fillId="8" borderId="0" xfId="0" applyNumberFormat="1" applyFont="1" applyFill="1" applyBorder="1"/>
    <x:xf numFmtId="0" fontId="9" fillId="9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4" borderId="1" xfId="0" applyNumberFormat="1" applyFont="1" applyFill="1" applyBorder="1"/>
    <x:xf numFmtId="0" fontId="9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5" borderId="1" xfId="0" applyNumberFormat="1" applyFont="1" applyFill="1" applyBorder="1"/>
    <x:xf numFmtId="0" fontId="8" fillId="6" borderId="1" xfId="0" applyNumberFormat="1" applyFont="1" applyFill="1" applyBorder="1"/>
    <x:xf numFmtId="0" fontId="9" fillId="6" borderId="1" xfId="0" applyNumberFormat="1" applyFont="1" applyFill="1" applyBorder="1"/>
    <x:xf numFmtId="0" fontId="8" fillId="7" borderId="1" xfId="0" applyNumberFormat="1" applyFont="1" applyFill="1" applyBorder="1"/>
    <x:xf numFmtId="0" fontId="9" fillId="7" borderId="1" xfId="0" applyNumberFormat="1" applyFont="1" applyFill="1" applyBorder="1"/>
    <x:xf numFmtId="0" fontId="8" fillId="8" borderId="1" xfId="0" applyNumberFormat="1" applyFont="1" applyFill="1" applyBorder="1"/>
    <x:xf numFmtId="0" fontId="9" fillId="9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wrapText="1"/>
    </x:xf>
    <x:xf numFmtId="200" fontId="9" fillId="4" borderId="0" xfId="0" applyNumberFormat="1" applyFont="1" applyFill="1" applyBorder="1" applyAlignment="1">
      <x:alignment wrapText="1"/>
    </x:xf>
    <x:xf numFmtId="201" fontId="8" fillId="5" borderId="0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200" fontId="9" fillId="4" borderId="1" xfId="0" applyNumberFormat="1" applyFont="1" applyFill="1" applyBorder="1" applyAlignment="1">
      <x:alignment wrapText="1"/>
    </x:xf>
    <x:xf numFmtId="201" fontId="8" fillId="5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201" fontId="9" fillId="5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201" fontId="9" fillId="5" borderId="1" xfId="0" applyNumberFormat="1" applyFont="1" applyFill="1" applyBorder="1" applyAlignment="1">
      <x:alignment wrapText="1"/>
    </x:xf>
    <x:xf numFmtId="202" fontId="9" fillId="5" borderId="0" xfId="0" applyNumberFormat="1" applyFont="1" applyFill="1" applyBorder="1" applyAlignment="1">
      <x:alignment wrapText="1"/>
    </x:xf>
    <x:xf numFmtId="202" fontId="9" fillId="5" borderId="1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  <x:xf numFmtId="201" fontId="9" fillId="5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1" fontId="9" fillId="5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20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/>
    </x:xf>
    <x:xf numFmtId="20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2" fillId="2" borderId="0" xfId="0" applyNumberFormat="1" applyFont="1" applyFill="1" applyBorder="1"/>
  </x:cellXfs>
  <x:cellStyles count="1">
    <x:cellStyle name="Normal" xfId="0"/>
  </x:cellStyles>
  <x:dxfs count="20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EAF3FA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DEEDB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DDEEDB"/>
        </x:patternFill>
      </x:fill>
    </x:dxf>
    <x:dxf>
      <x:fill>
        <x:patternFill patternType="solid">
          <x:bgColor rgb="FFDDEEDB"/>
        </x:patternFill>
      </x:fill>
    </x:dxf>
    <x:dxf>
      <x:fill>
        <x:patternFill patternType="solid">
          <x:bgColor rgb="FFFCE8B2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DDEEDB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30f0d619e4752" /><Relationship Type="http://schemas.openxmlformats.org/officeDocument/2006/relationships/theme" Target="/xl/theme/theme1.xml" Id="Rbe92b594d55242e3" /><Relationship Type="http://schemas.openxmlformats.org/officeDocument/2006/relationships/sharedStrings" Target="/xl/sharedStrings.xml" Id="Rf8398318f435408d" /><Relationship Type="http://schemas.openxmlformats.org/officeDocument/2006/relationships/worksheet" Target="/xl/worksheets/sheet1.xml" Id="R8c9cf1d1ed4a496c" /><Relationship Type="http://schemas.openxmlformats.org/officeDocument/2006/relationships/worksheet" Target="/xl/worksheets/sheet2.xml" Id="R95e6c70d4b7c4a6b" /><Relationship Type="http://schemas.openxmlformats.org/officeDocument/2006/relationships/worksheet" Target="/xl/worksheets/sheet3.xml" Id="Ra91914d0aa054760" /><Relationship Type="http://schemas.openxmlformats.org/officeDocument/2006/relationships/worksheet" Target="/xl/worksheets/sheet4.xml" Id="Rd726a37995244e0b" /><Relationship Type="http://schemas.openxmlformats.org/officeDocument/2006/relationships/worksheet" Target="/xl/worksheets/sheet5.xml" Id="R45c92dd0698848c8" /><Relationship Type="http://schemas.openxmlformats.org/officeDocument/2006/relationships/worksheet" Target="/xl/worksheets/sheet6.xml" Id="R52e326fabb744ab3" /><Relationship Type="http://schemas.openxmlformats.org/officeDocument/2006/relationships/worksheet" Target="/xl/worksheets/sheet7.xml" Id="R96e4509831cc4c21" /><Relationship Type="http://schemas.openxmlformats.org/officeDocument/2006/relationships/worksheet" Target="/xl/worksheets/sheet8.xml" Id="R567c8a2c3c784ae4" /><Relationship Type="http://schemas.openxmlformats.org/officeDocument/2006/relationships/worksheet" Target="/xl/worksheets/sheet9.xml" Id="Rc1cce56358d64443" /><Relationship Type="http://schemas.openxmlformats.org/officeDocument/2006/relationships/worksheet" Target="/xl/worksheets/sheet10.xml" Id="R662f74a736564a65" /><Relationship Type="http://schemas.openxmlformats.org/officeDocument/2006/relationships/worksheet" Target="/xl/worksheets/sheet11.xml" Id="R7d26883da6574973" /><Relationship Type="http://schemas.openxmlformats.org/officeDocument/2006/relationships/worksheet" Target="/xl/worksheets/sheet12.xml" Id="R5c875de494ed4bb6" /><Relationship Type="http://schemas.openxmlformats.org/officeDocument/2006/relationships/worksheet" Target="/xl/worksheets/sheet13.xml" Id="Rccb535261a054437" /><Relationship Type="http://schemas.openxmlformats.org/officeDocument/2006/relationships/worksheet" Target="/xl/worksheets/sheet14.xml" Id="Rf4900cd81fa64e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2d1e578561414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7c360ae59f24798" /><Relationship Type="http://schemas.openxmlformats.org/officeDocument/2006/relationships/chart" Target="/xl/drawings/charts/chart3.xml" Id="Rfe26e944c64f45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Included Sources by Method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Included Sources</c:v>
          </c:tx>
          <c:cat>
            <c:strRef>
              <c:f>'METHODS'!$A$4:$A$15</c:f>
              <c:strCache>
                <c:ptCount val="0"/>
              </c:strCache>
            </c:strRef>
          </c:cat>
          <c:val>
            <c:numRef>
              <c:f>'METHODS'!$B$4:$B$15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Finding Direction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Included Source Types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'DASHBOARD'!$J$17:$J$22</c:f>
              <c:strCache>
                <c:ptCount val="0"/>
              </c:strCache>
            </c:strRef>
          </c:cat>
          <c:val>
            <c:numRef>
              <c:f>'DASHBOARD'!$K$17:$K$22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2d1e578561414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c360ae59f24798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26e944c64f45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archLogTable" displayName="SearchLogTable" ref="A3:K43" headerRowCount="1" totalsRowCount="0" totalsRowShown="0">
  <x:tableColumns count="11">
    <x:tableColumn id="1" name="Search ID"/>
    <x:tableColumn id="2" name="Database / Platform"/>
    <x:tableColumn id="3" name="Search String / Query"/>
    <x:tableColumn id="4" name="Filters / Limits"/>
    <x:tableColumn id="5" name="Search Date"/>
    <x:tableColumn id="6" name="Results"/>
    <x:tableColumn id="7" name="Screened"/>
    <x:tableColumn id="8" name="Included"/>
    <x:tableColumn id="9" name="Inclusion %"/>
    <x:tableColumn id="10" name="Reproducibility QA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3:V83" headerRowCount="1" totalsRowCount="0" totalsRowShown="0">
  <x:tableColumns count="22">
    <x:tableColumn id="1" name="Source ID"/>
    <x:tableColumn id="2" name="Status"/>
    <x:tableColumn id="3" name="Author(s)"/>
    <x:tableColumn id="4" name="Year"/>
    <x:tableColumn id="5" name="Title"/>
    <x:tableColumn id="6" name="Source Type"/>
    <x:tableColumn id="7" name="Publication / Venue"/>
    <x:tableColumn id="8" name="DOI / URL"/>
    <x:tableColumn id="9" name="Population / Corpus"/>
    <x:tableColumn id="10" name="Context / Setting"/>
    <x:tableColumn id="11" name="Method"/>
    <x:tableColumn id="12" name="Sample / Corpus Size"/>
    <x:tableColumn id="13" name="Question / Purpose"/>
    <x:tableColumn id="14" name="Key Conclusion"/>
    <x:tableColumn id="15" name="Limitations / Caveats"/>
    <x:tableColumn id="16" name="Relevance (1-5)"/>
    <x:tableColumn id="17" name="Method Clarity (1-5)"/>
    <x:tableColumn id="18" name="Evidence Strength (1-5)"/>
    <x:tableColumn id="19" name="Applicability (1-5)"/>
    <x:tableColumn id="20" name="Review Avg"/>
    <x:tableColumn id="21" name="Metadata QA"/>
    <x:tableColumn id="2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dingsTable" displayName="FindingsTable" ref="A3:Q203" headerRowCount="1" totalsRowCount="0" totalsRowShown="0">
  <x:tableColumns count="17">
    <x:tableColumn id="1" name="Finding ID"/>
    <x:tableColumn id="2" name="Source ID"/>
    <x:tableColumn id="3" name="Source Label"/>
    <x:tableColumn id="4" name="Theme ID"/>
    <x:tableColumn id="5" name="Theme Name"/>
    <x:tableColumn id="6" name="Claim ID"/>
    <x:tableColumn id="7" name="Evidence / Finding / Passage"/>
    <x:tableColumn id="8" name="Page / Location"/>
    <x:tableColumn id="9" name="Evidence Type"/>
    <x:tableColumn id="10" name="Direction"/>
    <x:tableColumn id="11" name="Source Method"/>
    <x:tableColumn id="12" name="Method / Context Note"/>
    <x:tableColumn id="13" name="Limitation / Qualification"/>
    <x:tableColumn id="14" name="Anomaly / Outlier?"/>
    <x:tableColumn id="15" name="Interpretive Note"/>
    <x:tableColumn id="16" name="Location QA"/>
    <x:tableColumn id="17" name="Evidence 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psTable" displayName="GapsTable" ref="A3:J43" headerRowCount="1" totalsRowCount="0" totalsRowShown="0">
  <x:tableColumns count="10">
    <x:tableColumn id="1" name="Gap ID"/>
    <x:tableColumn id="2" name="Gap Type"/>
    <x:tableColumn id="3" name="Theme / Claim ID"/>
    <x:tableColumn id="4" name="Description"/>
    <x:tableColumn id="5" name="Evidence of Gap"/>
    <x:tableColumn id="6" name="Why It Matters"/>
    <x:tableColumn id="7" name="Next Step / Research Need"/>
    <x:tableColumn id="8" name="Priority"/>
    <x:tableColumn id="9" name="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f17720b61845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4406634b48a4b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7a69dd17ad242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164368bdaa4543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a33b5465d3fe4f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fee3e03677e3436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7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5" t="str">
        <x:v>Literature Review &amp; Evidence Synthesis Matrix</x:v>
      </x:c>
      <x:c r="B1" s="145"/>
      <x:c r="C1" s="145"/>
      <x:c r="D1" s="146"/>
      <x:c r="E1" s="146"/>
      <x:c r="F1" s="146"/>
      <x:c r="G1" s="146"/>
      <x:c r="H1" s="146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92" t="str">
        <x:v>Designed to move from sources → findings → patterns → exceptions → qualified synthesis.</x:v>
      </x:c>
      <x:c r="B3" s="92"/>
      <x:c r="C3" s="92"/>
      <x:c r="D3" s="92"/>
      <x:c r="E3" s="92"/>
      <x:c r="F3" s="92"/>
      <x:c r="G3" s="92"/>
      <x:c r="H3" s="92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91"/>
      <x:c r="B4" s="91"/>
      <x:c r="C4" s="91"/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93" t="str">
        <x:v>STEP</x:v>
      </x:c>
      <x:c r="B5" s="93" t="str">
        <x:v>SHEET</x:v>
      </x:c>
      <x:c r="C5" s="93" t="str">
        <x:v>WHAT YOU DO</x:v>
      </x:c>
      <x:c r="D5" s="91"/>
      <x:c r="E5" s="93" t="str">
        <x:v>LABEL</x:v>
      </x:c>
      <x:c r="F5" s="93" t="str">
        <x:v>MEANING</x:v>
      </x:c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91" t="str">
        <x:v>1</x:v>
      </x:c>
      <x:c r="B6" s="91" t="str">
        <x:v>REVIEW QUESTION</x:v>
      </x:c>
      <x:c r="C6" s="91" t="str">
        <x:v>Define the question, scope, review type, inclusion/exclusion rules, due date, and targets.</x:v>
      </x:c>
      <x:c r="D6" s="91"/>
      <x:c r="E6" s="94" t="str">
        <x:v>INPUT</x:v>
      </x:c>
      <x:c r="F6" s="95" t="str">
        <x:v>You enter this</x:v>
      </x:c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91" t="str">
        <x:v>2</x:v>
      </x:c>
      <x:c r="B7" s="91" t="str">
        <x:v>SEARCH LOG</x:v>
      </x:c>
      <x:c r="C7" s="91" t="str">
        <x:v>Optional but useful: record databases/search strings so you can reproduce how you found material.</x:v>
      </x:c>
      <x:c r="D7" s="91"/>
      <x:c r="E7" s="96" t="str">
        <x:v>AUTO</x:v>
      </x:c>
      <x:c r="F7" s="97" t="str">
        <x:v>Calculated for you</x:v>
      </x:c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91" t="str">
        <x:v>3</x:v>
      </x:c>
      <x:c r="B8" s="91" t="str">
        <x:v>SOURCES</x:v>
      </x:c>
      <x:c r="C8" s="91" t="str">
        <x:v>Log each source once. Mark it Include / Exclude / Background and capture method, population/corpus, context, conclusion, and limitations.</x:v>
      </x:c>
      <x:c r="D8" s="91"/>
      <x:c r="E8" s="98" t="str">
        <x:v>OPTIONAL</x:v>
      </x:c>
      <x:c r="F8" s="99" t="str">
        <x:v>Helpful but not required</x:v>
      </x:c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91" t="str">
        <x:v>4</x:v>
      </x:c>
      <x:c r="B9" s="91" t="str">
        <x:v>FINDINGS</x:v>
      </x:c>
      <x:c r="C9" s="91" t="str">
        <x:v>Enter individual findings, quotations, definitions, or interpretive observations. Assign each to a source, theme, and claim.</x:v>
      </x:c>
      <x:c r="D9" s="91"/>
      <x:c r="E9" s="100" t="str">
        <x:v>ACTION NEEDED</x:v>
      </x:c>
      <x:c r="F9" s="101" t="str">
        <x:v>Review/fix</x:v>
      </x:c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91" t="str">
        <x:v>5</x:v>
      </x:c>
      <x:c r="B10" s="91" t="str">
        <x:v>THEMES</x:v>
      </x:c>
      <x:c r="C10" s="91" t="str">
        <x:v>Define your themes once. The workbook automatically builds a source × theme coverage matrix and counts supporting/contradicting/complicating evidence.</x:v>
      </x:c>
      <x:c r="D10" s="91"/>
      <x:c r="E10" s="91"/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91" t="str">
        <x:v>6</x:v>
      </x:c>
      <x:c r="B11" s="91" t="str">
        <x:v>CLAIM MAP</x:v>
      </x:c>
      <x:c r="C11" s="91" t="str">
        <x:v>State the claims you may make. Evidence coverage and counterevidence counts populate automatically.</x:v>
      </x:c>
      <x:c r="D11" s="91"/>
      <x:c r="E11" s="102" t="str">
        <x:v>Synthesis rule</x:v>
      </x:c>
      <x:c r="F11" s="102"/>
      <x:c r="G11" s="102"/>
      <x:c r="H11" s="102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91" t="str">
        <x:v>7</x:v>
      </x:c>
      <x:c r="B12" s="91" t="str">
        <x:v>METHODS</x:v>
      </x:c>
      <x:c r="C12" s="91" t="str">
        <x:v>See which methods are actually represented in the included literature and where the review may be method-heavy or method-thin.</x:v>
      </x:c>
      <x:c r="D12" s="91"/>
      <x:c r="E12" s="103" t="str">
        <x:v>Counts can show patterns; they do not interpret the literature for you. The workbook therefore automates coverage, gaps, contradictions, and prompts—but leaves the synthesis statement to the researcher. A strong synthesis should account for consensus, disagreement, method/context differences, anomalies, and limitations before making a qualified claim.</x:v>
      </x:c>
      <x:c r="F12" s="103"/>
      <x:c r="G12" s="103"/>
      <x:c r="H12" s="103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91" t="str">
        <x:v>8</x:v>
      </x:c>
      <x:c r="B13" s="91" t="str">
        <x:v>SYNTHESIS</x:v>
      </x:c>
      <x:c r="C13" s="91" t="str">
        <x:v>For each theme: identify the pattern, disagreement, methodological/contextual explanation, anomaly, gap, and qualified synthesis statement.</x:v>
      </x:c>
      <x:c r="D13" s="91"/>
      <x:c r="E13" s="103"/>
      <x:c r="F13" s="103"/>
      <x:c r="G13" s="103"/>
      <x:c r="H13" s="103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91" t="str">
        <x:v>9</x:v>
      </x:c>
      <x:c r="B14" s="91" t="str">
        <x:v>GAPS</x:v>
      </x:c>
      <x:c r="C14" s="91" t="str">
        <x:v>Capture gaps explicitly rather than leaving them buried in notes.</x:v>
      </x:c>
      <x:c r="D14" s="91"/>
      <x:c r="E14" s="103"/>
      <x:c r="F14" s="103"/>
      <x:c r="G14" s="103"/>
      <x:c r="H14" s="103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91" t="str">
        <x:v>10</x:v>
      </x:c>
      <x:c r="B15" s="91" t="str">
        <x:v>DRAFT PLAN</x:v>
      </x:c>
      <x:c r="C15" s="91" t="str">
        <x:v>Turn the synthesis into sections and prose targets.</x:v>
      </x:c>
      <x:c r="D15" s="91"/>
      <x:c r="E15" s="103"/>
      <x:c r="F15" s="103"/>
      <x:c r="G15" s="103"/>
      <x:c r="H15" s="103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91" t="str">
        <x:v>11</x:v>
      </x:c>
      <x:c r="B16" s="91" t="str">
        <x:v>DASHBOARD</x:v>
      </x:c>
      <x:c r="C16" s="91" t="str">
        <x:v>Use the dashboard to see coverage, contradictions, progress, and what still needs attention.</x:v>
      </x:c>
      <x:c r="D16" s="91"/>
      <x:c r="E16" s="103"/>
      <x:c r="F16" s="103"/>
      <x:c r="G16" s="103"/>
      <x:c r="H16" s="103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H1"/>
    <x:mergeCell ref="A3:H3"/>
    <x:mergeCell ref="E11:H11"/>
    <x:mergeCell ref="E12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4" hidden="0" customWidth="1"/>
    <x:col min="4" max="4" width="22" hidden="0" customWidth="1"/>
    <x:col min="5" max="5" width="18" hidden="0" customWidth="1"/>
  </x:cols>
  <x:sheetData>
    <x:row r="1">
      <x:c r="A1" s="149" t="str">
        <x:v>REVIEW QUESTION — define the boundaries before interpreting the literature</x:v>
      </x:c>
      <x:c r="B1" s="149"/>
      <x:c r="C1" s="149"/>
      <x:c r="D1" s="149"/>
      <x:c r="E1" s="149"/>
      <x:c r="F1" s="149"/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02" t="str">
        <x:v>Review Title</x:v>
      </x:c>
      <x:c r="B3" s="119" t="str"/>
      <x:c r="C3" s="91"/>
      <x:c r="D3" s="93" t="str">
        <x:v>AUTO SUMMARY</x:v>
      </x:c>
      <x:c r="E3" s="93" t="str">
        <x:v>VALUE</x:v>
      </x:c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02" t="str">
        <x:v>Review Type</x:v>
      </x:c>
      <x:c r="B4" s="119" t="str">
        <x:v>Narrative Review</x:v>
      </x:c>
      <x:c r="C4" s="91"/>
      <x:c r="D4" s="102" t="str">
        <x:v>Days Remaining</x:v>
      </x:c>
      <x:c r="E4" s="96" t="n">
        <x:f>MAX(0,B12-TODAY())</x:f>
        <x:v>31</x:v>
      </x:c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02" t="str">
        <x:v>Core Question</x:v>
      </x:c>
      <x:c r="B5" s="119" t="str"/>
      <x:c r="C5" s="91"/>
      <x:c r="D5" s="102" t="str">
        <x:v>Sources Logged</x:v>
      </x:c>
      <x:c r="E5" s="96" t="n">
        <x:f>COUNTIF(SOURCES!E4:E83,"&lt;&gt;")</x:f>
        <x:v>0</x:v>
      </x:c>
      <x:c r="F5" s="91"/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02" t="str">
        <x:v>Population / Corpus / Unit of Analysis</x:v>
      </x:c>
      <x:c r="B6" s="119" t="str"/>
      <x:c r="C6" s="91"/>
      <x:c r="D6" s="102" t="str">
        <x:v>Included Sources</x:v>
      </x:c>
      <x:c r="E6" s="96" t="n">
        <x:f>COUNTIF(SOURCES!B4:B83,"Include")</x:f>
        <x:v>0</x:v>
      </x:c>
      <x:c r="F6" s="91"/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02" t="str">
        <x:v>Context / Setting</x:v>
      </x:c>
      <x:c r="B7" s="119" t="str"/>
      <x:c r="C7" s="91"/>
      <x:c r="D7" s="102" t="str">
        <x:v>Source Gap</x:v>
      </x:c>
      <x:c r="E7" s="96" t="n">
        <x:f>MAX(0,B13-E6)</x:f>
        <x:v>20</x:v>
      </x:c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02" t="str">
        <x:v>Date Range / Historical Boundary</x:v>
      </x:c>
      <x:c r="B8" s="119" t="str"/>
      <x:c r="C8" s="91"/>
      <x:c r="D8" s="102" t="str">
        <x:v>Findings Logged</x:v>
      </x:c>
      <x:c r="E8" s="96" t="n">
        <x:f>COUNTIF(FINDINGS!G4:G203,"&lt;&gt;")</x:f>
        <x:v>0</x:v>
      </x:c>
      <x:c r="F8" s="91"/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02" t="str">
        <x:v>Inclusion Criteria</x:v>
      </x:c>
      <x:c r="B9" s="119" t="str"/>
      <x:c r="C9" s="91"/>
      <x:c r="D9" s="102" t="str">
        <x:v>Themes Defined</x:v>
      </x:c>
      <x:c r="E9" s="96" t="n">
        <x:f>COUNTIF(THEMES!B4:B15,"&lt;&gt;")</x:f>
        <x:v>0</x:v>
      </x:c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02" t="str">
        <x:v>Exclusion Criteria</x:v>
      </x:c>
      <x:c r="B10" s="119" t="str"/>
      <x:c r="C10" s="91"/>
      <x:c r="D10" s="102" t="str">
        <x:v>Claims Defined</x:v>
      </x:c>
      <x:c r="E10" s="96" t="n">
        <x:f>COUNTIF('CLAIM MAP'!B4:B23,"&lt;&gt;")</x:f>
        <x:v>0</x:v>
      </x:c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02" t="str">
        <x:v>Start Date</x:v>
      </x:c>
      <x:c r="B11" s="120" t="n">
        <x:v>46296</x:v>
      </x:c>
      <x:c r="C11" s="91"/>
      <x:c r="D11" s="102" t="str">
        <x:v>Open Gaps</x:v>
      </x:c>
      <x:c r="E11" s="96" t="n">
        <x:f>COUNTIFS(GAPS!D4:D43,"&lt;&gt;",GAPS!I4:I43,"&lt;&gt;Complete")</x:f>
        <x:v>0</x:v>
      </x:c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02" t="str">
        <x:v>Due Date</x:v>
      </x:c>
      <x:c r="B12" s="120" t="n">
        <x:v>46327</x:v>
      </x:c>
      <x:c r="C12" s="91"/>
      <x:c r="D12" s="102" t="str">
        <x:v>Draft Progress</x:v>
      </x:c>
      <x:c r="E12" s="121" t="n">
        <x:f>IF(B14=0,0,SUM('DRAFT PLAN'!K4:K23)/B14)</x:f>
        <x:v>0</x:v>
      </x:c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02" t="str">
        <x:v>Target Included Sources</x:v>
      </x:c>
      <x:c r="B13" s="119" t="n">
        <x:v>20</x:v>
      </x:c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02" t="str">
        <x:v>Target Draft Words</x:v>
      </x:c>
      <x:c r="B14" s="119" t="n">
        <x:v>5000</x:v>
      </x:c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F1"/>
  </x:mergeCells>
  <x:dataValidations count="1">
    <x:dataValidation type="list" sqref="B4">
      <x:formula1>_LISTS!$J$2:$J$6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0" hidden="0" customWidth="1"/>
    <x:col min="4" max="4" width="28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8" hidden="0" customWidth="1"/>
    <x:col min="11" max="11" width="30" hidden="0" customWidth="1"/>
  </x:cols>
  <x:sheetData>
    <x:row r="1">
      <x:c r="A1" s="149" t="str">
        <x:v>SEARCH LOG — optional for narrative reviews; strongly recommended when search reproducibility matters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Search ID</x:v>
      </x:c>
      <x:c r="B3" s="125" t="str">
        <x:v>Database / Platform</x:v>
      </x:c>
      <x:c r="C3" s="125" t="str">
        <x:v>Search String / Query</x:v>
      </x:c>
      <x:c r="D3" s="125" t="str">
        <x:v>Filters / Limits</x:v>
      </x:c>
      <x:c r="E3" s="125" t="str">
        <x:v>Search Date</x:v>
      </x:c>
      <x:c r="F3" s="125" t="str">
        <x:v>Results</x:v>
      </x:c>
      <x:c r="G3" s="125" t="str">
        <x:v>Screened</x:v>
      </x:c>
      <x:c r="H3" s="125" t="str">
        <x:v>Included</x:v>
      </x:c>
      <x:c r="I3" s="125" t="str">
        <x:v>Inclusion %</x:v>
      </x:c>
      <x:c r="J3" s="125" t="str">
        <x:v>Reproducibility QA</x:v>
      </x:c>
      <x:c r="K3" s="125" t="str">
        <x:v>Notes</x:v>
      </x:c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26" t="str">
        <x:f>IF(C4="","","Q"&amp;TEXT(ROW()-3,"00"))</x:f>
      </x:c>
      <x:c r="B4" s="119"/>
      <x:c r="C4" s="119"/>
      <x:c r="D4" s="119"/>
      <x:c r="E4" s="120"/>
      <x:c r="F4" s="119"/>
      <x:c r="G4" s="119"/>
      <x:c r="H4" s="119"/>
      <x:c r="I4" s="127" t="str">
        <x:f>IF(OR(F4="",F4=0),"",H4/F4)</x:f>
      </x:c>
      <x:c r="J4" s="126" t="str">
        <x:f>IF(C4="","",IF(OR(B4="",E4=""),"ACTION NEEDED","OK"))</x:f>
      </x:c>
      <x:c r="K4" s="119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26" t="str">
        <x:f>IF(C5="","","Q"&amp;TEXT(ROW()-3,"00"))</x:f>
      </x:c>
      <x:c r="B5" s="119"/>
      <x:c r="C5" s="119"/>
      <x:c r="D5" s="119"/>
      <x:c r="E5" s="120"/>
      <x:c r="F5" s="119"/>
      <x:c r="G5" s="119"/>
      <x:c r="H5" s="119"/>
      <x:c r="I5" s="127" t="str">
        <x:f>IF(OR(F5="",F5=0),"",H5/F5)</x:f>
      </x:c>
      <x:c r="J5" s="126" t="str">
        <x:f>IF(C5="","",IF(OR(B5="",E5=""),"ACTION NEEDED","OK"))</x:f>
      </x:c>
      <x:c r="K5" s="119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26" t="str">
        <x:f>IF(C6="","","Q"&amp;TEXT(ROW()-3,"00"))</x:f>
      </x:c>
      <x:c r="B6" s="119"/>
      <x:c r="C6" s="119"/>
      <x:c r="D6" s="119"/>
      <x:c r="E6" s="120"/>
      <x:c r="F6" s="119"/>
      <x:c r="G6" s="119"/>
      <x:c r="H6" s="119"/>
      <x:c r="I6" s="127" t="str">
        <x:f>IF(OR(F6="",F6=0),"",H6/F6)</x:f>
      </x:c>
      <x:c r="J6" s="126" t="str">
        <x:f>IF(C6="","",IF(OR(B6="",E6=""),"ACTION NEEDED","OK"))</x:f>
      </x:c>
      <x:c r="K6" s="119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26" t="str">
        <x:f>IF(C7="","","Q"&amp;TEXT(ROW()-3,"00"))</x:f>
      </x:c>
      <x:c r="B7" s="119"/>
      <x:c r="C7" s="119"/>
      <x:c r="D7" s="119"/>
      <x:c r="E7" s="120"/>
      <x:c r="F7" s="119"/>
      <x:c r="G7" s="119"/>
      <x:c r="H7" s="119"/>
      <x:c r="I7" s="127" t="str">
        <x:f>IF(OR(F7="",F7=0),"",H7/F7)</x:f>
      </x:c>
      <x:c r="J7" s="126" t="str">
        <x:f>IF(C7="","",IF(OR(B7="",E7=""),"ACTION NEEDED","OK"))</x:f>
      </x:c>
      <x:c r="K7" s="119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26" t="str">
        <x:f>IF(C8="","","Q"&amp;TEXT(ROW()-3,"00"))</x:f>
      </x:c>
      <x:c r="B8" s="119"/>
      <x:c r="C8" s="119"/>
      <x:c r="D8" s="119"/>
      <x:c r="E8" s="120"/>
      <x:c r="F8" s="119"/>
      <x:c r="G8" s="119"/>
      <x:c r="H8" s="119"/>
      <x:c r="I8" s="127" t="str">
        <x:f>IF(OR(F8="",F8=0),"",H8/F8)</x:f>
      </x:c>
      <x:c r="J8" s="126" t="str">
        <x:f>IF(C8="","",IF(OR(B8="",E8=""),"ACTION NEEDED","OK"))</x:f>
      </x:c>
      <x:c r="K8" s="119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26" t="str">
        <x:f>IF(C9="","","Q"&amp;TEXT(ROW()-3,"00"))</x:f>
      </x:c>
      <x:c r="B9" s="119"/>
      <x:c r="C9" s="119"/>
      <x:c r="D9" s="119"/>
      <x:c r="E9" s="120"/>
      <x:c r="F9" s="119"/>
      <x:c r="G9" s="119"/>
      <x:c r="H9" s="119"/>
      <x:c r="I9" s="127" t="str">
        <x:f>IF(OR(F9="",F9=0),"",H9/F9)</x:f>
      </x:c>
      <x:c r="J9" s="126" t="str">
        <x:f>IF(C9="","",IF(OR(B9="",E9=""),"ACTION NEEDED","OK"))</x:f>
      </x:c>
      <x:c r="K9" s="119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26" t="str">
        <x:f>IF(C10="","","Q"&amp;TEXT(ROW()-3,"00"))</x:f>
      </x:c>
      <x:c r="B10" s="119"/>
      <x:c r="C10" s="119"/>
      <x:c r="D10" s="119"/>
      <x:c r="E10" s="120"/>
      <x:c r="F10" s="119"/>
      <x:c r="G10" s="119"/>
      <x:c r="H10" s="119"/>
      <x:c r="I10" s="127" t="str">
        <x:f>IF(OR(F10="",F10=0),"",H10/F10)</x:f>
      </x:c>
      <x:c r="J10" s="126" t="str">
        <x:f>IF(C10="","",IF(OR(B10="",E10=""),"ACTION NEEDED","OK"))</x:f>
      </x:c>
      <x:c r="K10" s="119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26" t="str">
        <x:f>IF(C11="","","Q"&amp;TEXT(ROW()-3,"00"))</x:f>
      </x:c>
      <x:c r="B11" s="119"/>
      <x:c r="C11" s="119"/>
      <x:c r="D11" s="119"/>
      <x:c r="E11" s="120"/>
      <x:c r="F11" s="119"/>
      <x:c r="G11" s="119"/>
      <x:c r="H11" s="119"/>
      <x:c r="I11" s="127" t="str">
        <x:f>IF(OR(F11="",F11=0),"",H11/F11)</x:f>
      </x:c>
      <x:c r="J11" s="126" t="str">
        <x:f>IF(C11="","",IF(OR(B11="",E11=""),"ACTION NEEDED","OK"))</x:f>
      </x:c>
      <x:c r="K11" s="119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26" t="str">
        <x:f>IF(C12="","","Q"&amp;TEXT(ROW()-3,"00"))</x:f>
      </x:c>
      <x:c r="B12" s="119"/>
      <x:c r="C12" s="119"/>
      <x:c r="D12" s="119"/>
      <x:c r="E12" s="120"/>
      <x:c r="F12" s="119"/>
      <x:c r="G12" s="119"/>
      <x:c r="H12" s="119"/>
      <x:c r="I12" s="127" t="str">
        <x:f>IF(OR(F12="",F12=0),"",H12/F12)</x:f>
      </x:c>
      <x:c r="J12" s="126" t="str">
        <x:f>IF(C12="","",IF(OR(B12="",E12=""),"ACTION NEEDED","OK"))</x:f>
      </x:c>
      <x:c r="K12" s="119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26" t="str">
        <x:f>IF(C13="","","Q"&amp;TEXT(ROW()-3,"00"))</x:f>
      </x:c>
      <x:c r="B13" s="119"/>
      <x:c r="C13" s="119"/>
      <x:c r="D13" s="119"/>
      <x:c r="E13" s="120"/>
      <x:c r="F13" s="119"/>
      <x:c r="G13" s="119"/>
      <x:c r="H13" s="119"/>
      <x:c r="I13" s="127" t="str">
        <x:f>IF(OR(F13="",F13=0),"",H13/F13)</x:f>
      </x:c>
      <x:c r="J13" s="126" t="str">
        <x:f>IF(C13="","",IF(OR(B13="",E13=""),"ACTION NEEDED","OK"))</x:f>
      </x:c>
      <x:c r="K13" s="119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26" t="str">
        <x:f>IF(C14="","","Q"&amp;TEXT(ROW()-3,"00"))</x:f>
      </x:c>
      <x:c r="B14" s="119"/>
      <x:c r="C14" s="119"/>
      <x:c r="D14" s="119"/>
      <x:c r="E14" s="120"/>
      <x:c r="F14" s="119"/>
      <x:c r="G14" s="119"/>
      <x:c r="H14" s="119"/>
      <x:c r="I14" s="127" t="str">
        <x:f>IF(OR(F14="",F14=0),"",H14/F14)</x:f>
      </x:c>
      <x:c r="J14" s="126" t="str">
        <x:f>IF(C14="","",IF(OR(B14="",E14=""),"ACTION NEEDED","OK"))</x:f>
      </x:c>
      <x:c r="K14" s="119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126" t="str">
        <x:f>IF(C15="","","Q"&amp;TEXT(ROW()-3,"00"))</x:f>
      </x:c>
      <x:c r="B15" s="119"/>
      <x:c r="C15" s="119"/>
      <x:c r="D15" s="119"/>
      <x:c r="E15" s="120"/>
      <x:c r="F15" s="119"/>
      <x:c r="G15" s="119"/>
      <x:c r="H15" s="119"/>
      <x:c r="I15" s="127" t="str">
        <x:f>IF(OR(F15="",F15=0),"",H15/F15)</x:f>
      </x:c>
      <x:c r="J15" s="126" t="str">
        <x:f>IF(C15="","",IF(OR(B15="",E15=""),"ACTION NEEDED","OK"))</x:f>
      </x:c>
      <x:c r="K15" s="119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126" t="str">
        <x:f>IF(C16="","","Q"&amp;TEXT(ROW()-3,"00"))</x:f>
      </x:c>
      <x:c r="B16" s="119"/>
      <x:c r="C16" s="119"/>
      <x:c r="D16" s="119"/>
      <x:c r="E16" s="120"/>
      <x:c r="F16" s="119"/>
      <x:c r="G16" s="119"/>
      <x:c r="H16" s="119"/>
      <x:c r="I16" s="127" t="str">
        <x:f>IF(OR(F16="",F16=0),"",H16/F16)</x:f>
      </x:c>
      <x:c r="J16" s="126" t="str">
        <x:f>IF(C16="","",IF(OR(B16="",E16=""),"ACTION NEEDED","OK"))</x:f>
      </x:c>
      <x:c r="K16" s="119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126" t="str">
        <x:f>IF(C17="","","Q"&amp;TEXT(ROW()-3,"00"))</x:f>
      </x:c>
      <x:c r="B17" s="119"/>
      <x:c r="C17" s="119"/>
      <x:c r="D17" s="119"/>
      <x:c r="E17" s="120"/>
      <x:c r="F17" s="119"/>
      <x:c r="G17" s="119"/>
      <x:c r="H17" s="119"/>
      <x:c r="I17" s="127" t="str">
        <x:f>IF(OR(F17="",F17=0),"",H17/F17)</x:f>
      </x:c>
      <x:c r="J17" s="126" t="str">
        <x:f>IF(C17="","",IF(OR(B17="",E17=""),"ACTION NEEDED","OK"))</x:f>
      </x:c>
      <x:c r="K17" s="119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126" t="str">
        <x:f>IF(C18="","","Q"&amp;TEXT(ROW()-3,"00"))</x:f>
      </x:c>
      <x:c r="B18" s="119"/>
      <x:c r="C18" s="119"/>
      <x:c r="D18" s="119"/>
      <x:c r="E18" s="120"/>
      <x:c r="F18" s="119"/>
      <x:c r="G18" s="119"/>
      <x:c r="H18" s="119"/>
      <x:c r="I18" s="127" t="str">
        <x:f>IF(OR(F18="",F18=0),"",H18/F18)</x:f>
      </x:c>
      <x:c r="J18" s="126" t="str">
        <x:f>IF(C18="","",IF(OR(B18="",E18=""),"ACTION NEEDED","OK"))</x:f>
      </x:c>
      <x:c r="K18" s="119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126" t="str">
        <x:f>IF(C19="","","Q"&amp;TEXT(ROW()-3,"00"))</x:f>
      </x:c>
      <x:c r="B19" s="119"/>
      <x:c r="C19" s="119"/>
      <x:c r="D19" s="119"/>
      <x:c r="E19" s="120"/>
      <x:c r="F19" s="119"/>
      <x:c r="G19" s="119"/>
      <x:c r="H19" s="119"/>
      <x:c r="I19" s="127" t="str">
        <x:f>IF(OR(F19="",F19=0),"",H19/F19)</x:f>
      </x:c>
      <x:c r="J19" s="126" t="str">
        <x:f>IF(C19="","",IF(OR(B19="",E19=""),"ACTION NEEDED","OK"))</x:f>
      </x:c>
      <x:c r="K19" s="119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126" t="str">
        <x:f>IF(C20="","","Q"&amp;TEXT(ROW()-3,"00"))</x:f>
      </x:c>
      <x:c r="B20" s="119"/>
      <x:c r="C20" s="119"/>
      <x:c r="D20" s="119"/>
      <x:c r="E20" s="120"/>
      <x:c r="F20" s="119"/>
      <x:c r="G20" s="119"/>
      <x:c r="H20" s="119"/>
      <x:c r="I20" s="127" t="str">
        <x:f>IF(OR(F20="",F20=0),"",H20/F20)</x:f>
      </x:c>
      <x:c r="J20" s="126" t="str">
        <x:f>IF(C20="","",IF(OR(B20="",E20=""),"ACTION NEEDED","OK"))</x:f>
      </x:c>
      <x:c r="K20" s="119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126" t="str">
        <x:f>IF(C21="","","Q"&amp;TEXT(ROW()-3,"00"))</x:f>
      </x:c>
      <x:c r="B21" s="119"/>
      <x:c r="C21" s="119"/>
      <x:c r="D21" s="119"/>
      <x:c r="E21" s="120"/>
      <x:c r="F21" s="119"/>
      <x:c r="G21" s="119"/>
      <x:c r="H21" s="119"/>
      <x:c r="I21" s="127" t="str">
        <x:f>IF(OR(F21="",F21=0),"",H21/F21)</x:f>
      </x:c>
      <x:c r="J21" s="126" t="str">
        <x:f>IF(C21="","",IF(OR(B21="",E21=""),"ACTION NEEDED","OK"))</x:f>
      </x:c>
      <x:c r="K21" s="119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126" t="str">
        <x:f>IF(C22="","","Q"&amp;TEXT(ROW()-3,"00"))</x:f>
      </x:c>
      <x:c r="B22" s="119"/>
      <x:c r="C22" s="119"/>
      <x:c r="D22" s="119"/>
      <x:c r="E22" s="120"/>
      <x:c r="F22" s="119"/>
      <x:c r="G22" s="119"/>
      <x:c r="H22" s="119"/>
      <x:c r="I22" s="127" t="str">
        <x:f>IF(OR(F22="",F22=0),"",H22/F22)</x:f>
      </x:c>
      <x:c r="J22" s="126" t="str">
        <x:f>IF(C22="","",IF(OR(B22="",E22=""),"ACTION NEEDED","OK"))</x:f>
      </x:c>
      <x:c r="K22" s="119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126" t="str">
        <x:f>IF(C23="","","Q"&amp;TEXT(ROW()-3,"00"))</x:f>
      </x:c>
      <x:c r="B23" s="119"/>
      <x:c r="C23" s="119"/>
      <x:c r="D23" s="119"/>
      <x:c r="E23" s="120"/>
      <x:c r="F23" s="119"/>
      <x:c r="G23" s="119"/>
      <x:c r="H23" s="119"/>
      <x:c r="I23" s="127" t="str">
        <x:f>IF(OR(F23="",F23=0),"",H23/F23)</x:f>
      </x:c>
      <x:c r="J23" s="126" t="str">
        <x:f>IF(C23="","",IF(OR(B23="",E23=""),"ACTION NEEDED","OK"))</x:f>
      </x:c>
      <x:c r="K23" s="119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126" t="str">
        <x:f>IF(C24="","","Q"&amp;TEXT(ROW()-3,"00"))</x:f>
      </x:c>
      <x:c r="B24" s="119"/>
      <x:c r="C24" s="119"/>
      <x:c r="D24" s="119"/>
      <x:c r="E24" s="120"/>
      <x:c r="F24" s="119"/>
      <x:c r="G24" s="119"/>
      <x:c r="H24" s="119"/>
      <x:c r="I24" s="127" t="str">
        <x:f>IF(OR(F24="",F24=0),"",H24/F24)</x:f>
      </x:c>
      <x:c r="J24" s="126" t="str">
        <x:f>IF(C24="","",IF(OR(B24="",E24=""),"ACTION NEEDED","OK"))</x:f>
      </x:c>
      <x:c r="K24" s="119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126" t="str">
        <x:f>IF(C25="","","Q"&amp;TEXT(ROW()-3,"00"))</x:f>
      </x:c>
      <x:c r="B25" s="119"/>
      <x:c r="C25" s="119"/>
      <x:c r="D25" s="119"/>
      <x:c r="E25" s="120"/>
      <x:c r="F25" s="119"/>
      <x:c r="G25" s="119"/>
      <x:c r="H25" s="119"/>
      <x:c r="I25" s="127" t="str">
        <x:f>IF(OR(F25="",F25=0),"",H25/F25)</x:f>
      </x:c>
      <x:c r="J25" s="126" t="str">
        <x:f>IF(C25="","",IF(OR(B25="",E25=""),"ACTION NEEDED","OK"))</x:f>
      </x:c>
      <x:c r="K25" s="119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126" t="str">
        <x:f>IF(C26="","","Q"&amp;TEXT(ROW()-3,"00"))</x:f>
      </x:c>
      <x:c r="B26" s="119"/>
      <x:c r="C26" s="119"/>
      <x:c r="D26" s="119"/>
      <x:c r="E26" s="120"/>
      <x:c r="F26" s="119"/>
      <x:c r="G26" s="119"/>
      <x:c r="H26" s="119"/>
      <x:c r="I26" s="127" t="str">
        <x:f>IF(OR(F26="",F26=0),"",H26/F26)</x:f>
      </x:c>
      <x:c r="J26" s="126" t="str">
        <x:f>IF(C26="","",IF(OR(B26="",E26=""),"ACTION NEEDED","OK"))</x:f>
      </x:c>
      <x:c r="K26" s="119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126" t="str">
        <x:f>IF(C27="","","Q"&amp;TEXT(ROW()-3,"00"))</x:f>
      </x:c>
      <x:c r="B27" s="119"/>
      <x:c r="C27" s="119"/>
      <x:c r="D27" s="119"/>
      <x:c r="E27" s="120"/>
      <x:c r="F27" s="119"/>
      <x:c r="G27" s="119"/>
      <x:c r="H27" s="119"/>
      <x:c r="I27" s="127" t="str">
        <x:f>IF(OR(F27="",F27=0),"",H27/F27)</x:f>
      </x:c>
      <x:c r="J27" s="126" t="str">
        <x:f>IF(C27="","",IF(OR(B27="",E27=""),"ACTION NEEDED","OK"))</x:f>
      </x:c>
      <x:c r="K27" s="119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126" t="str">
        <x:f>IF(C28="","","Q"&amp;TEXT(ROW()-3,"00"))</x:f>
      </x:c>
      <x:c r="B28" s="119"/>
      <x:c r="C28" s="119"/>
      <x:c r="D28" s="119"/>
      <x:c r="E28" s="120"/>
      <x:c r="F28" s="119"/>
      <x:c r="G28" s="119"/>
      <x:c r="H28" s="119"/>
      <x:c r="I28" s="127" t="str">
        <x:f>IF(OR(F28="",F28=0),"",H28/F28)</x:f>
      </x:c>
      <x:c r="J28" s="126" t="str">
        <x:f>IF(C28="","",IF(OR(B28="",E28=""),"ACTION NEEDED","OK"))</x:f>
      </x:c>
      <x:c r="K28" s="119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126" t="str">
        <x:f>IF(C29="","","Q"&amp;TEXT(ROW()-3,"00"))</x:f>
      </x:c>
      <x:c r="B29" s="119"/>
      <x:c r="C29" s="119"/>
      <x:c r="D29" s="119"/>
      <x:c r="E29" s="120"/>
      <x:c r="F29" s="119"/>
      <x:c r="G29" s="119"/>
      <x:c r="H29" s="119"/>
      <x:c r="I29" s="127" t="str">
        <x:f>IF(OR(F29="",F29=0),"",H29/F29)</x:f>
      </x:c>
      <x:c r="J29" s="126" t="str">
        <x:f>IF(C29="","",IF(OR(B29="",E29=""),"ACTION NEEDED","OK"))</x:f>
      </x:c>
      <x:c r="K29" s="119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126" t="str">
        <x:f>IF(C30="","","Q"&amp;TEXT(ROW()-3,"00"))</x:f>
      </x:c>
      <x:c r="B30" s="119"/>
      <x:c r="C30" s="119"/>
      <x:c r="D30" s="119"/>
      <x:c r="E30" s="120"/>
      <x:c r="F30" s="119"/>
      <x:c r="G30" s="119"/>
      <x:c r="H30" s="119"/>
      <x:c r="I30" s="127" t="str">
        <x:f>IF(OR(F30="",F30=0),"",H30/F30)</x:f>
      </x:c>
      <x:c r="J30" s="126" t="str">
        <x:f>IF(C30="","",IF(OR(B30="",E30=""),"ACTION NEEDED","OK"))</x:f>
      </x:c>
      <x:c r="K30" s="119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126" t="str">
        <x:f>IF(C31="","","Q"&amp;TEXT(ROW()-3,"00"))</x:f>
      </x:c>
      <x:c r="B31" s="119"/>
      <x:c r="C31" s="119"/>
      <x:c r="D31" s="119"/>
      <x:c r="E31" s="120"/>
      <x:c r="F31" s="119"/>
      <x:c r="G31" s="119"/>
      <x:c r="H31" s="119"/>
      <x:c r="I31" s="127" t="str">
        <x:f>IF(OR(F31="",F31=0),"",H31/F31)</x:f>
      </x:c>
      <x:c r="J31" s="126" t="str">
        <x:f>IF(C31="","",IF(OR(B31="",E31=""),"ACTION NEEDED","OK"))</x:f>
      </x:c>
      <x:c r="K31" s="119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126" t="str">
        <x:f>IF(C32="","","Q"&amp;TEXT(ROW()-3,"00"))</x:f>
      </x:c>
      <x:c r="B32" s="119"/>
      <x:c r="C32" s="119"/>
      <x:c r="D32" s="119"/>
      <x:c r="E32" s="120"/>
      <x:c r="F32" s="119"/>
      <x:c r="G32" s="119"/>
      <x:c r="H32" s="119"/>
      <x:c r="I32" s="127" t="str">
        <x:f>IF(OR(F32="",F32=0),"",H32/F32)</x:f>
      </x:c>
      <x:c r="J32" s="126" t="str">
        <x:f>IF(C32="","",IF(OR(B32="",E32=""),"ACTION NEEDED","OK"))</x:f>
      </x:c>
      <x:c r="K32" s="119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126" t="str">
        <x:f>IF(C33="","","Q"&amp;TEXT(ROW()-3,"00"))</x:f>
      </x:c>
      <x:c r="B33" s="119"/>
      <x:c r="C33" s="119"/>
      <x:c r="D33" s="119"/>
      <x:c r="E33" s="120"/>
      <x:c r="F33" s="119"/>
      <x:c r="G33" s="119"/>
      <x:c r="H33" s="119"/>
      <x:c r="I33" s="127" t="str">
        <x:f>IF(OR(F33="",F33=0),"",H33/F33)</x:f>
      </x:c>
      <x:c r="J33" s="126" t="str">
        <x:f>IF(C33="","",IF(OR(B33="",E33=""),"ACTION NEEDED","OK"))</x:f>
      </x:c>
      <x:c r="K33" s="119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126" t="str">
        <x:f>IF(C34="","","Q"&amp;TEXT(ROW()-3,"00"))</x:f>
      </x:c>
      <x:c r="B34" s="119"/>
      <x:c r="C34" s="119"/>
      <x:c r="D34" s="119"/>
      <x:c r="E34" s="120"/>
      <x:c r="F34" s="119"/>
      <x:c r="G34" s="119"/>
      <x:c r="H34" s="119"/>
      <x:c r="I34" s="127" t="str">
        <x:f>IF(OR(F34="",F34=0),"",H34/F34)</x:f>
      </x:c>
      <x:c r="J34" s="126" t="str">
        <x:f>IF(C34="","",IF(OR(B34="",E34=""),"ACTION NEEDED","OK"))</x:f>
      </x:c>
      <x:c r="K34" s="119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126" t="str">
        <x:f>IF(C35="","","Q"&amp;TEXT(ROW()-3,"00"))</x:f>
      </x:c>
      <x:c r="B35" s="119"/>
      <x:c r="C35" s="119"/>
      <x:c r="D35" s="119"/>
      <x:c r="E35" s="120"/>
      <x:c r="F35" s="119"/>
      <x:c r="G35" s="119"/>
      <x:c r="H35" s="119"/>
      <x:c r="I35" s="127" t="str">
        <x:f>IF(OR(F35="",F35=0),"",H35/F35)</x:f>
      </x:c>
      <x:c r="J35" s="126" t="str">
        <x:f>IF(C35="","",IF(OR(B35="",E35=""),"ACTION NEEDED","OK"))</x:f>
      </x:c>
      <x:c r="K35" s="119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126" t="str">
        <x:f>IF(C36="","","Q"&amp;TEXT(ROW()-3,"00"))</x:f>
      </x:c>
      <x:c r="B36" s="119"/>
      <x:c r="C36" s="119"/>
      <x:c r="D36" s="119"/>
      <x:c r="E36" s="120"/>
      <x:c r="F36" s="119"/>
      <x:c r="G36" s="119"/>
      <x:c r="H36" s="119"/>
      <x:c r="I36" s="127" t="str">
        <x:f>IF(OR(F36="",F36=0),"",H36/F36)</x:f>
      </x:c>
      <x:c r="J36" s="126" t="str">
        <x:f>IF(C36="","",IF(OR(B36="",E36=""),"ACTION NEEDED","OK"))</x:f>
      </x:c>
      <x:c r="K36" s="119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126" t="str">
        <x:f>IF(C37="","","Q"&amp;TEXT(ROW()-3,"00"))</x:f>
      </x:c>
      <x:c r="B37" s="119"/>
      <x:c r="C37" s="119"/>
      <x:c r="D37" s="119"/>
      <x:c r="E37" s="120"/>
      <x:c r="F37" s="119"/>
      <x:c r="G37" s="119"/>
      <x:c r="H37" s="119"/>
      <x:c r="I37" s="127" t="str">
        <x:f>IF(OR(F37="",F37=0),"",H37/F37)</x:f>
      </x:c>
      <x:c r="J37" s="126" t="str">
        <x:f>IF(C37="","",IF(OR(B37="",E37=""),"ACTION NEEDED","OK"))</x:f>
      </x:c>
      <x:c r="K37" s="119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126" t="str">
        <x:f>IF(C38="","","Q"&amp;TEXT(ROW()-3,"00"))</x:f>
      </x:c>
      <x:c r="B38" s="119"/>
      <x:c r="C38" s="119"/>
      <x:c r="D38" s="119"/>
      <x:c r="E38" s="120"/>
      <x:c r="F38" s="119"/>
      <x:c r="G38" s="119"/>
      <x:c r="H38" s="119"/>
      <x:c r="I38" s="127" t="str">
        <x:f>IF(OR(F38="",F38=0),"",H38/F38)</x:f>
      </x:c>
      <x:c r="J38" s="126" t="str">
        <x:f>IF(C38="","",IF(OR(B38="",E38=""),"ACTION NEEDED","OK"))</x:f>
      </x:c>
      <x:c r="K38" s="119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126" t="str">
        <x:f>IF(C39="","","Q"&amp;TEXT(ROW()-3,"00"))</x:f>
      </x:c>
      <x:c r="B39" s="119"/>
      <x:c r="C39" s="119"/>
      <x:c r="D39" s="119"/>
      <x:c r="E39" s="120"/>
      <x:c r="F39" s="119"/>
      <x:c r="G39" s="119"/>
      <x:c r="H39" s="119"/>
      <x:c r="I39" s="127" t="str">
        <x:f>IF(OR(F39="",F39=0),"",H39/F39)</x:f>
      </x:c>
      <x:c r="J39" s="126" t="str">
        <x:f>IF(C39="","",IF(OR(B39="",E39=""),"ACTION NEEDED","OK"))</x:f>
      </x:c>
      <x:c r="K39" s="119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126" t="str">
        <x:f>IF(C40="","","Q"&amp;TEXT(ROW()-3,"00"))</x:f>
      </x:c>
      <x:c r="B40" s="119"/>
      <x:c r="C40" s="119"/>
      <x:c r="D40" s="119"/>
      <x:c r="E40" s="120"/>
      <x:c r="F40" s="119"/>
      <x:c r="G40" s="119"/>
      <x:c r="H40" s="119"/>
      <x:c r="I40" s="127" t="str">
        <x:f>IF(OR(F40="",F40=0),"",H40/F40)</x:f>
      </x:c>
      <x:c r="J40" s="126" t="str">
        <x:f>IF(C40="","",IF(OR(B40="",E40=""),"ACTION NEEDED","OK"))</x:f>
      </x:c>
      <x:c r="K40" s="119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126" t="str">
        <x:f>IF(C41="","","Q"&amp;TEXT(ROW()-3,"00"))</x:f>
      </x:c>
      <x:c r="B41" s="119"/>
      <x:c r="C41" s="119"/>
      <x:c r="D41" s="119"/>
      <x:c r="E41" s="120"/>
      <x:c r="F41" s="119"/>
      <x:c r="G41" s="119"/>
      <x:c r="H41" s="119"/>
      <x:c r="I41" s="127" t="str">
        <x:f>IF(OR(F41="",F41=0),"",H41/F41)</x:f>
      </x:c>
      <x:c r="J41" s="126" t="str">
        <x:f>IF(C41="","",IF(OR(B41="",E41=""),"ACTION NEEDED","OK"))</x:f>
      </x:c>
      <x:c r="K41" s="119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126" t="str">
        <x:f>IF(C42="","","Q"&amp;TEXT(ROW()-3,"00"))</x:f>
      </x:c>
      <x:c r="B42" s="119"/>
      <x:c r="C42" s="119"/>
      <x:c r="D42" s="119"/>
      <x:c r="E42" s="120"/>
      <x:c r="F42" s="119"/>
      <x:c r="G42" s="119"/>
      <x:c r="H42" s="119"/>
      <x:c r="I42" s="127" t="str">
        <x:f>IF(OR(F42="",F42=0),"",H42/F42)</x:f>
      </x:c>
      <x:c r="J42" s="126" t="str">
        <x:f>IF(C42="","",IF(OR(B42="",E42=""),"ACTION NEEDED","OK"))</x:f>
      </x:c>
      <x:c r="K42" s="119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126" t="str">
        <x:f>IF(C43="","","Q"&amp;TEXT(ROW()-3,"00"))</x:f>
      </x:c>
      <x:c r="B43" s="119"/>
      <x:c r="C43" s="119"/>
      <x:c r="D43" s="119"/>
      <x:c r="E43" s="120"/>
      <x:c r="F43" s="119"/>
      <x:c r="G43" s="119"/>
      <x:c r="H43" s="119"/>
      <x:c r="I43" s="127" t="str">
        <x:f>IF(OR(F43="",F43=0),"",H43/F43)</x:f>
      </x:c>
      <x:c r="J43" s="126" t="str">
        <x:f>IF(C43="","",IF(OR(B43="",E43=""),"ACTION NEEDED","OK"))</x:f>
      </x:c>
      <x:c r="K43" s="119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K1"/>
  </x:mergeCells>
  <x:conditionalFormatting sqref="J4:J43">
    <x:cfRule type="expression" dxfId="0" priority="1">
      <x:formula>$J4="ACTION NEEDED"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f17720b61845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8" hidden="0" customWidth="1"/>
    <x:col min="5" max="5" width="34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24" hidden="0" customWidth="1"/>
    <x:col min="11" max="11" width="28" hidden="0" customWidth="1"/>
    <x:col min="12" max="12" width="18" hidden="0" customWidth="1"/>
    <x:col min="13" max="13" width="32" hidden="0" customWidth="1"/>
    <x:col min="14" max="14" width="38" hidden="0" customWidth="1"/>
    <x:col min="15" max="15" width="38" hidden="0" customWidth="1"/>
    <x:col min="16" max="16" width="12" hidden="0" customWidth="1"/>
    <x:col min="17" max="17" width="16" hidden="0" customWidth="1"/>
    <x:col min="18" max="18" width="16" hidden="0" customWidth="1"/>
    <x:col min="19" max="19" width="14" hidden="0" customWidth="1"/>
    <x:col min="20" max="20" width="11" hidden="0" customWidth="1"/>
    <x:col min="21" max="21" width="18" hidden="0" customWidth="1"/>
    <x:col min="22" max="22" width="28" hidden="0" customWidth="1"/>
  </x:cols>
  <x:sheetData>
    <x:row r="1">
      <x:c r="A1" s="149" t="str">
        <x:v>SOURCES — one row per source; interpretive evidence belongs in FINDINGS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  <x:c r="V1" s="149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Source ID</x:v>
      </x:c>
      <x:c r="B3" s="125" t="str">
        <x:v>Status</x:v>
      </x:c>
      <x:c r="C3" s="125" t="str">
        <x:v>Author(s)</x:v>
      </x:c>
      <x:c r="D3" s="125" t="str">
        <x:v>Year</x:v>
      </x:c>
      <x:c r="E3" s="125" t="str">
        <x:v>Title</x:v>
      </x:c>
      <x:c r="F3" s="125" t="str">
        <x:v>Source Type</x:v>
      </x:c>
      <x:c r="G3" s="125" t="str">
        <x:v>Publication / Venue</x:v>
      </x:c>
      <x:c r="H3" s="125" t="str">
        <x:v>DOI / URL</x:v>
      </x:c>
      <x:c r="I3" s="125" t="str">
        <x:v>Population / Corpus</x:v>
      </x:c>
      <x:c r="J3" s="125" t="str">
        <x:v>Context / Setting</x:v>
      </x:c>
      <x:c r="K3" s="125" t="str">
        <x:v>Method</x:v>
      </x:c>
      <x:c r="L3" s="125" t="str">
        <x:v>Sample / Corpus Size</x:v>
      </x:c>
      <x:c r="M3" s="125" t="str">
        <x:v>Question / Purpose</x:v>
      </x:c>
      <x:c r="N3" s="125" t="str">
        <x:v>Key Conclusion</x:v>
      </x:c>
      <x:c r="O3" s="125" t="str">
        <x:v>Limitations / Caveats</x:v>
      </x:c>
      <x:c r="P3" s="125" t="str">
        <x:v>Relevance (1-5)</x:v>
      </x:c>
      <x:c r="Q3" s="125" t="str">
        <x:v>Method Clarity (1-5)</x:v>
      </x:c>
      <x:c r="R3" s="125" t="str">
        <x:v>Evidence Strength (1-5)</x:v>
      </x:c>
      <x:c r="S3" s="125" t="str">
        <x:v>Applicability (1-5)</x:v>
      </x:c>
      <x:c r="T3" s="125" t="str">
        <x:v>Review Avg</x:v>
      </x:c>
      <x:c r="U3" s="125" t="str">
        <x:v>Metadata QA</x:v>
      </x:c>
      <x:c r="V3" s="125" t="str">
        <x:v>Notes</x:v>
      </x:c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26" t="str">
        <x:f>IF(E4="","","S"&amp;TEXT(ROW()-3,"000"))</x:f>
      </x:c>
      <x:c r="B4" s="119"/>
      <x:c r="C4" s="119"/>
      <x:c r="D4" s="119"/>
      <x:c r="E4" s="119"/>
      <x:c r="F4" s="119"/>
      <x:c r="G4" s="119"/>
      <x:c r="H4" s="119"/>
      <x:c r="I4" s="119"/>
      <x:c r="J4" s="119"/>
      <x:c r="K4" s="119"/>
      <x:c r="L4" s="119"/>
      <x:c r="M4" s="119"/>
      <x:c r="N4" s="119"/>
      <x:c r="O4" s="119"/>
      <x:c r="P4" s="119"/>
      <x:c r="Q4" s="119"/>
      <x:c r="R4" s="119"/>
      <x:c r="S4" s="119"/>
      <x:c r="T4" s="131" t="str">
        <x:f>IF(COUNT(P4:S4)=0,"",ROUND(AVERAGE(P4:S4),1))</x:f>
      </x:c>
      <x:c r="U4" s="126" t="str">
        <x:f>IF(E4="","",IF(OR(B4="",C4="",F4="",G4=""),"ACTION NEEDED",IF(AND(B4="Include",K4=""),"ADD METHOD","OK")))</x:f>
      </x:c>
      <x:c r="V4" s="119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26" t="str">
        <x:f>IF(E5="","","S"&amp;TEXT(ROW()-3,"000"))</x:f>
      </x:c>
      <x:c r="B5" s="119"/>
      <x:c r="C5" s="119"/>
      <x:c r="D5" s="119"/>
      <x:c r="E5" s="119"/>
      <x:c r="F5" s="119"/>
      <x:c r="G5" s="119"/>
      <x:c r="H5" s="119"/>
      <x:c r="I5" s="119"/>
      <x:c r="J5" s="119"/>
      <x:c r="K5" s="119"/>
      <x:c r="L5" s="119"/>
      <x:c r="M5" s="119"/>
      <x:c r="N5" s="119"/>
      <x:c r="O5" s="119"/>
      <x:c r="P5" s="119"/>
      <x:c r="Q5" s="119"/>
      <x:c r="R5" s="119"/>
      <x:c r="S5" s="119"/>
      <x:c r="T5" s="131" t="str">
        <x:f>IF(COUNT(P5:S5)=0,"",ROUND(AVERAGE(P5:S5),1))</x:f>
      </x:c>
      <x:c r="U5" s="126" t="str">
        <x:f>IF(E5="","",IF(OR(B5="",C5="",F5="",G5=""),"ACTION NEEDED",IF(AND(B5="Include",K5=""),"ADD METHOD","OK")))</x:f>
      </x:c>
      <x:c r="V5" s="119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26" t="str">
        <x:f>IF(E6="","","S"&amp;TEXT(ROW()-3,"000"))</x:f>
      </x:c>
      <x:c r="B6" s="119"/>
      <x:c r="C6" s="119"/>
      <x:c r="D6" s="119"/>
      <x:c r="E6" s="119"/>
      <x:c r="F6" s="119"/>
      <x:c r="G6" s="119"/>
      <x:c r="H6" s="119"/>
      <x:c r="I6" s="119"/>
      <x:c r="J6" s="119"/>
      <x:c r="K6" s="119"/>
      <x:c r="L6" s="119"/>
      <x:c r="M6" s="119"/>
      <x:c r="N6" s="119"/>
      <x:c r="O6" s="119"/>
      <x:c r="P6" s="119"/>
      <x:c r="Q6" s="119"/>
      <x:c r="R6" s="119"/>
      <x:c r="S6" s="119"/>
      <x:c r="T6" s="131" t="str">
        <x:f>IF(COUNT(P6:S6)=0,"",ROUND(AVERAGE(P6:S6),1))</x:f>
      </x:c>
      <x:c r="U6" s="126" t="str">
        <x:f>IF(E6="","",IF(OR(B6="",C6="",F6="",G6=""),"ACTION NEEDED",IF(AND(B6="Include",K6=""),"ADD METHOD","OK")))</x:f>
      </x:c>
      <x:c r="V6" s="119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26" t="str">
        <x:f>IF(E7="","","S"&amp;TEXT(ROW()-3,"000"))</x:f>
      </x:c>
      <x:c r="B7" s="119"/>
      <x:c r="C7" s="119"/>
      <x:c r="D7" s="119"/>
      <x:c r="E7" s="119"/>
      <x:c r="F7" s="119"/>
      <x:c r="G7" s="119"/>
      <x:c r="H7" s="119"/>
      <x:c r="I7" s="119"/>
      <x:c r="J7" s="119"/>
      <x:c r="K7" s="119"/>
      <x:c r="L7" s="119"/>
      <x:c r="M7" s="119"/>
      <x:c r="N7" s="119"/>
      <x:c r="O7" s="119"/>
      <x:c r="P7" s="119"/>
      <x:c r="Q7" s="119"/>
      <x:c r="R7" s="119"/>
      <x:c r="S7" s="119"/>
      <x:c r="T7" s="131" t="str">
        <x:f>IF(COUNT(P7:S7)=0,"",ROUND(AVERAGE(P7:S7),1))</x:f>
      </x:c>
      <x:c r="U7" s="126" t="str">
        <x:f>IF(E7="","",IF(OR(B7="",C7="",F7="",G7=""),"ACTION NEEDED",IF(AND(B7="Include",K7=""),"ADD METHOD","OK")))</x:f>
      </x:c>
      <x:c r="V7" s="119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26" t="str">
        <x:f>IF(E8="","","S"&amp;TEXT(ROW()-3,"000"))</x:f>
      </x:c>
      <x:c r="B8" s="119"/>
      <x:c r="C8" s="119"/>
      <x:c r="D8" s="119"/>
      <x:c r="E8" s="119"/>
      <x:c r="F8" s="119"/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  <x:c r="Q8" s="119"/>
      <x:c r="R8" s="119"/>
      <x:c r="S8" s="119"/>
      <x:c r="T8" s="131" t="str">
        <x:f>IF(COUNT(P8:S8)=0,"",ROUND(AVERAGE(P8:S8),1))</x:f>
      </x:c>
      <x:c r="U8" s="126" t="str">
        <x:f>IF(E8="","",IF(OR(B8="",C8="",F8="",G8=""),"ACTION NEEDED",IF(AND(B8="Include",K8=""),"ADD METHOD","OK")))</x:f>
      </x:c>
      <x:c r="V8" s="119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26" t="str">
        <x:f>IF(E9="","","S"&amp;TEXT(ROW()-3,"000"))</x:f>
      </x:c>
      <x:c r="B9" s="119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Q9" s="119"/>
      <x:c r="R9" s="119"/>
      <x:c r="S9" s="119"/>
      <x:c r="T9" s="131" t="str">
        <x:f>IF(COUNT(P9:S9)=0,"",ROUND(AVERAGE(P9:S9),1))</x:f>
      </x:c>
      <x:c r="U9" s="126" t="str">
        <x:f>IF(E9="","",IF(OR(B9="",C9="",F9="",G9=""),"ACTION NEEDED",IF(AND(B9="Include",K9=""),"ADD METHOD","OK")))</x:f>
      </x:c>
      <x:c r="V9" s="119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26" t="str">
        <x:f>IF(E10="","","S"&amp;TEXT(ROW()-3,"000"))</x:f>
      </x:c>
      <x:c r="B10" s="119"/>
      <x:c r="C10" s="119"/>
      <x:c r="D10" s="119"/>
      <x:c r="E10" s="119"/>
      <x:c r="F10" s="119"/>
      <x:c r="G10" s="119"/>
      <x:c r="H10" s="119"/>
      <x:c r="I10" s="119"/>
      <x:c r="J10" s="119"/>
      <x:c r="K10" s="119"/>
      <x:c r="L10" s="119"/>
      <x:c r="M10" s="119"/>
      <x:c r="N10" s="119"/>
      <x:c r="O10" s="119"/>
      <x:c r="P10" s="119"/>
      <x:c r="Q10" s="119"/>
      <x:c r="R10" s="119"/>
      <x:c r="S10" s="119"/>
      <x:c r="T10" s="131" t="str">
        <x:f>IF(COUNT(P10:S10)=0,"",ROUND(AVERAGE(P10:S10),1))</x:f>
      </x:c>
      <x:c r="U10" s="126" t="str">
        <x:f>IF(E10="","",IF(OR(B10="",C10="",F10="",G10=""),"ACTION NEEDED",IF(AND(B10="Include",K10=""),"ADD METHOD","OK")))</x:f>
      </x:c>
      <x:c r="V10" s="119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26" t="str">
        <x:f>IF(E11="","","S"&amp;TEXT(ROW()-3,"000"))</x:f>
      </x:c>
      <x:c r="B11" s="119"/>
      <x:c r="C11" s="119"/>
      <x:c r="D11" s="119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19"/>
      <x:c r="S11" s="119"/>
      <x:c r="T11" s="131" t="str">
        <x:f>IF(COUNT(P11:S11)=0,"",ROUND(AVERAGE(P11:S11),1))</x:f>
      </x:c>
      <x:c r="U11" s="126" t="str">
        <x:f>IF(E11="","",IF(OR(B11="",C11="",F11="",G11=""),"ACTION NEEDED",IF(AND(B11="Include",K11=""),"ADD METHOD","OK")))</x:f>
      </x:c>
      <x:c r="V11" s="119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26" t="str">
        <x:f>IF(E12="","","S"&amp;TEXT(ROW()-3,"000"))</x:f>
      </x:c>
      <x:c r="B12" s="119"/>
      <x:c r="C12" s="119"/>
      <x:c r="D12" s="119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  <x:c r="R12" s="119"/>
      <x:c r="S12" s="119"/>
      <x:c r="T12" s="131" t="str">
        <x:f>IF(COUNT(P12:S12)=0,"",ROUND(AVERAGE(P12:S12),1))</x:f>
      </x:c>
      <x:c r="U12" s="126" t="str">
        <x:f>IF(E12="","",IF(OR(B12="",C12="",F12="",G12=""),"ACTION NEEDED",IF(AND(B12="Include",K12=""),"ADD METHOD","OK")))</x:f>
      </x:c>
      <x:c r="V12" s="119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26" t="str">
        <x:f>IF(E13="","","S"&amp;TEXT(ROW()-3,"000"))</x:f>
      </x:c>
      <x:c r="B13" s="119"/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  <x:c r="Q13" s="119"/>
      <x:c r="R13" s="119"/>
      <x:c r="S13" s="119"/>
      <x:c r="T13" s="131" t="str">
        <x:f>IF(COUNT(P13:S13)=0,"",ROUND(AVERAGE(P13:S13),1))</x:f>
      </x:c>
      <x:c r="U13" s="126" t="str">
        <x:f>IF(E13="","",IF(OR(B13="",C13="",F13="",G13=""),"ACTION NEEDED",IF(AND(B13="Include",K13=""),"ADD METHOD","OK")))</x:f>
      </x:c>
      <x:c r="V13" s="119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26" t="str">
        <x:f>IF(E14="","","S"&amp;TEXT(ROW()-3,"000"))</x:f>
      </x:c>
      <x:c r="B14" s="119"/>
      <x:c r="C14" s="119"/>
      <x:c r="D14" s="119"/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  <x:c r="Q14" s="119"/>
      <x:c r="R14" s="119"/>
      <x:c r="S14" s="119"/>
      <x:c r="T14" s="131" t="str">
        <x:f>IF(COUNT(P14:S14)=0,"",ROUND(AVERAGE(P14:S14),1))</x:f>
      </x:c>
      <x:c r="U14" s="126" t="str">
        <x:f>IF(E14="","",IF(OR(B14="",C14="",F14="",G14=""),"ACTION NEEDED",IF(AND(B14="Include",K14=""),"ADD METHOD","OK")))</x:f>
      </x:c>
      <x:c r="V14" s="119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126" t="str">
        <x:f>IF(E15="","","S"&amp;TEXT(ROW()-3,"000"))</x:f>
      </x:c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  <x:c r="Q15" s="119"/>
      <x:c r="R15" s="119"/>
      <x:c r="S15" s="119"/>
      <x:c r="T15" s="131" t="str">
        <x:f>IF(COUNT(P15:S15)=0,"",ROUND(AVERAGE(P15:S15),1))</x:f>
      </x:c>
      <x:c r="U15" s="126" t="str">
        <x:f>IF(E15="","",IF(OR(B15="",C15="",F15="",G15=""),"ACTION NEEDED",IF(AND(B15="Include",K15=""),"ADD METHOD","OK")))</x:f>
      </x:c>
      <x:c r="V15" s="119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126" t="str">
        <x:f>IF(E16="","","S"&amp;TEXT(ROW()-3,"000"))</x:f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  <x:c r="Q16" s="119"/>
      <x:c r="R16" s="119"/>
      <x:c r="S16" s="119"/>
      <x:c r="T16" s="131" t="str">
        <x:f>IF(COUNT(P16:S16)=0,"",ROUND(AVERAGE(P16:S16),1))</x:f>
      </x:c>
      <x:c r="U16" s="126" t="str">
        <x:f>IF(E16="","",IF(OR(B16="",C16="",F16="",G16=""),"ACTION NEEDED",IF(AND(B16="Include",K16=""),"ADD METHOD","OK")))</x:f>
      </x:c>
      <x:c r="V16" s="119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126" t="str">
        <x:f>IF(E17="","","S"&amp;TEXT(ROW()-3,"000"))</x:f>
      </x:c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  <x:c r="Q17" s="119"/>
      <x:c r="R17" s="119"/>
      <x:c r="S17" s="119"/>
      <x:c r="T17" s="131" t="str">
        <x:f>IF(COUNT(P17:S17)=0,"",ROUND(AVERAGE(P17:S17),1))</x:f>
      </x:c>
      <x:c r="U17" s="126" t="str">
        <x:f>IF(E17="","",IF(OR(B17="",C17="",F17="",G17=""),"ACTION NEEDED",IF(AND(B17="Include",K17=""),"ADD METHOD","OK")))</x:f>
      </x:c>
      <x:c r="V17" s="119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126" t="str">
        <x:f>IF(E18="","","S"&amp;TEXT(ROW()-3,"000"))</x:f>
      </x:c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  <x:c r="Q18" s="119"/>
      <x:c r="R18" s="119"/>
      <x:c r="S18" s="119"/>
      <x:c r="T18" s="131" t="str">
        <x:f>IF(COUNT(P18:S18)=0,"",ROUND(AVERAGE(P18:S18),1))</x:f>
      </x:c>
      <x:c r="U18" s="126" t="str">
        <x:f>IF(E18="","",IF(OR(B18="",C18="",F18="",G18=""),"ACTION NEEDED",IF(AND(B18="Include",K18=""),"ADD METHOD","OK")))</x:f>
      </x:c>
      <x:c r="V18" s="119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126" t="str">
        <x:f>IF(E19="","","S"&amp;TEXT(ROW()-3,"000"))</x:f>
      </x:c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19"/>
      <x:c r="N19" s="119"/>
      <x:c r="O19" s="119"/>
      <x:c r="P19" s="119"/>
      <x:c r="Q19" s="119"/>
      <x:c r="R19" s="119"/>
      <x:c r="S19" s="119"/>
      <x:c r="T19" s="131" t="str">
        <x:f>IF(COUNT(P19:S19)=0,"",ROUND(AVERAGE(P19:S19),1))</x:f>
      </x:c>
      <x:c r="U19" s="126" t="str">
        <x:f>IF(E19="","",IF(OR(B19="",C19="",F19="",G19=""),"ACTION NEEDED",IF(AND(B19="Include",K19=""),"ADD METHOD","OK")))</x:f>
      </x:c>
      <x:c r="V19" s="119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126" t="str">
        <x:f>IF(E20="","","S"&amp;TEXT(ROW()-3,"000"))</x:f>
      </x:c>
      <x:c r="B20" s="119"/>
      <x:c r="C20" s="119"/>
      <x:c r="D20" s="119"/>
      <x:c r="E20" s="119"/>
      <x:c r="F20" s="119"/>
      <x:c r="G20" s="119"/>
      <x:c r="H20" s="119"/>
      <x:c r="I20" s="119"/>
      <x:c r="J20" s="119"/>
      <x:c r="K20" s="119"/>
      <x:c r="L20" s="119"/>
      <x:c r="M20" s="119"/>
      <x:c r="N20" s="119"/>
      <x:c r="O20" s="119"/>
      <x:c r="P20" s="119"/>
      <x:c r="Q20" s="119"/>
      <x:c r="R20" s="119"/>
      <x:c r="S20" s="119"/>
      <x:c r="T20" s="131" t="str">
        <x:f>IF(COUNT(P20:S20)=0,"",ROUND(AVERAGE(P20:S20),1))</x:f>
      </x:c>
      <x:c r="U20" s="126" t="str">
        <x:f>IF(E20="","",IF(OR(B20="",C20="",F20="",G20=""),"ACTION NEEDED",IF(AND(B20="Include",K20=""),"ADD METHOD","OK")))</x:f>
      </x:c>
      <x:c r="V20" s="119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126" t="str">
        <x:f>IF(E21="","","S"&amp;TEXT(ROW()-3,"000"))</x:f>
      </x:c>
      <x:c r="B21" s="119"/>
      <x:c r="C21" s="119"/>
      <x:c r="D21" s="119"/>
      <x:c r="E21" s="119"/>
      <x:c r="F21" s="119"/>
      <x:c r="G21" s="119"/>
      <x:c r="H21" s="119"/>
      <x:c r="I21" s="119"/>
      <x:c r="J21" s="119"/>
      <x:c r="K21" s="119"/>
      <x:c r="L21" s="119"/>
      <x:c r="M21" s="119"/>
      <x:c r="N21" s="119"/>
      <x:c r="O21" s="119"/>
      <x:c r="P21" s="119"/>
      <x:c r="Q21" s="119"/>
      <x:c r="R21" s="119"/>
      <x:c r="S21" s="119"/>
      <x:c r="T21" s="131" t="str">
        <x:f>IF(COUNT(P21:S21)=0,"",ROUND(AVERAGE(P21:S21),1))</x:f>
      </x:c>
      <x:c r="U21" s="126" t="str">
        <x:f>IF(E21="","",IF(OR(B21="",C21="",F21="",G21=""),"ACTION NEEDED",IF(AND(B21="Include",K21=""),"ADD METHOD","OK")))</x:f>
      </x:c>
      <x:c r="V21" s="119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126" t="str">
        <x:f>IF(E22="","","S"&amp;TEXT(ROW()-3,"000"))</x:f>
      </x:c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/>
      <x:c r="M22" s="119"/>
      <x:c r="N22" s="119"/>
      <x:c r="O22" s="119"/>
      <x:c r="P22" s="119"/>
      <x:c r="Q22" s="119"/>
      <x:c r="R22" s="119"/>
      <x:c r="S22" s="119"/>
      <x:c r="T22" s="131" t="str">
        <x:f>IF(COUNT(P22:S22)=0,"",ROUND(AVERAGE(P22:S22),1))</x:f>
      </x:c>
      <x:c r="U22" s="126" t="str">
        <x:f>IF(E22="","",IF(OR(B22="",C22="",F22="",G22=""),"ACTION NEEDED",IF(AND(B22="Include",K22=""),"ADD METHOD","OK")))</x:f>
      </x:c>
      <x:c r="V22" s="119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126" t="str">
        <x:f>IF(E23="","","S"&amp;TEXT(ROW()-3,"000"))</x:f>
      </x:c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  <x:c r="R23" s="119"/>
      <x:c r="S23" s="119"/>
      <x:c r="T23" s="131" t="str">
        <x:f>IF(COUNT(P23:S23)=0,"",ROUND(AVERAGE(P23:S23),1))</x:f>
      </x:c>
      <x:c r="U23" s="126" t="str">
        <x:f>IF(E23="","",IF(OR(B23="",C23="",F23="",G23=""),"ACTION NEEDED",IF(AND(B23="Include",K23=""),"ADD METHOD","OK")))</x:f>
      </x:c>
      <x:c r="V23" s="119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126" t="str">
        <x:f>IF(E24="","","S"&amp;TEXT(ROW()-3,"000"))</x:f>
      </x:c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119"/>
      <x:c r="M24" s="119"/>
      <x:c r="N24" s="119"/>
      <x:c r="O24" s="119"/>
      <x:c r="P24" s="119"/>
      <x:c r="Q24" s="119"/>
      <x:c r="R24" s="119"/>
      <x:c r="S24" s="119"/>
      <x:c r="T24" s="131" t="str">
        <x:f>IF(COUNT(P24:S24)=0,"",ROUND(AVERAGE(P24:S24),1))</x:f>
      </x:c>
      <x:c r="U24" s="126" t="str">
        <x:f>IF(E24="","",IF(OR(B24="",C24="",F24="",G24=""),"ACTION NEEDED",IF(AND(B24="Include",K24=""),"ADD METHOD","OK")))</x:f>
      </x:c>
      <x:c r="V24" s="119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126" t="str">
        <x:f>IF(E25="","","S"&amp;TEXT(ROW()-3,"000"))</x:f>
      </x:c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  <x:c r="R25" s="119"/>
      <x:c r="S25" s="119"/>
      <x:c r="T25" s="131" t="str">
        <x:f>IF(COUNT(P25:S25)=0,"",ROUND(AVERAGE(P25:S25),1))</x:f>
      </x:c>
      <x:c r="U25" s="126" t="str">
        <x:f>IF(E25="","",IF(OR(B25="",C25="",F25="",G25=""),"ACTION NEEDED",IF(AND(B25="Include",K25=""),"ADD METHOD","OK")))</x:f>
      </x:c>
      <x:c r="V25" s="119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126" t="str">
        <x:f>IF(E26="","","S"&amp;TEXT(ROW()-3,"000"))</x:f>
      </x:c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  <x:c r="M26" s="119"/>
      <x:c r="N26" s="119"/>
      <x:c r="O26" s="119"/>
      <x:c r="P26" s="119"/>
      <x:c r="Q26" s="119"/>
      <x:c r="R26" s="119"/>
      <x:c r="S26" s="119"/>
      <x:c r="T26" s="131" t="str">
        <x:f>IF(COUNT(P26:S26)=0,"",ROUND(AVERAGE(P26:S26),1))</x:f>
      </x:c>
      <x:c r="U26" s="126" t="str">
        <x:f>IF(E26="","",IF(OR(B26="",C26="",F26="",G26=""),"ACTION NEEDED",IF(AND(B26="Include",K26=""),"ADD METHOD","OK")))</x:f>
      </x:c>
      <x:c r="V26" s="119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126" t="str">
        <x:f>IF(E27="","","S"&amp;TEXT(ROW()-3,"000"))</x:f>
      </x:c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  <x:c r="Q27" s="119"/>
      <x:c r="R27" s="119"/>
      <x:c r="S27" s="119"/>
      <x:c r="T27" s="131" t="str">
        <x:f>IF(COUNT(P27:S27)=0,"",ROUND(AVERAGE(P27:S27),1))</x:f>
      </x:c>
      <x:c r="U27" s="126" t="str">
        <x:f>IF(E27="","",IF(OR(B27="",C27="",F27="",G27=""),"ACTION NEEDED",IF(AND(B27="Include",K27=""),"ADD METHOD","OK")))</x:f>
      </x:c>
      <x:c r="V27" s="119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126" t="str">
        <x:f>IF(E28="","","S"&amp;TEXT(ROW()-3,"000"))</x:f>
      </x:c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  <x:c r="R28" s="119"/>
      <x:c r="S28" s="119"/>
      <x:c r="T28" s="131" t="str">
        <x:f>IF(COUNT(P28:S28)=0,"",ROUND(AVERAGE(P28:S28),1))</x:f>
      </x:c>
      <x:c r="U28" s="126" t="str">
        <x:f>IF(E28="","",IF(OR(B28="",C28="",F28="",G28=""),"ACTION NEEDED",IF(AND(B28="Include",K28=""),"ADD METHOD","OK")))</x:f>
      </x:c>
      <x:c r="V28" s="119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126" t="str">
        <x:f>IF(E29="","","S"&amp;TEXT(ROW()-3,"000"))</x:f>
      </x:c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119"/>
      <x:c r="L29" s="119"/>
      <x:c r="M29" s="119"/>
      <x:c r="N29" s="119"/>
      <x:c r="O29" s="119"/>
      <x:c r="P29" s="119"/>
      <x:c r="Q29" s="119"/>
      <x:c r="R29" s="119"/>
      <x:c r="S29" s="119"/>
      <x:c r="T29" s="131" t="str">
        <x:f>IF(COUNT(P29:S29)=0,"",ROUND(AVERAGE(P29:S29),1))</x:f>
      </x:c>
      <x:c r="U29" s="126" t="str">
        <x:f>IF(E29="","",IF(OR(B29="",C29="",F29="",G29=""),"ACTION NEEDED",IF(AND(B29="Include",K29=""),"ADD METHOD","OK")))</x:f>
      </x:c>
      <x:c r="V29" s="119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126" t="str">
        <x:f>IF(E30="","","S"&amp;TEXT(ROW()-3,"000"))</x:f>
      </x:c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119"/>
      <x:c r="M30" s="119"/>
      <x:c r="N30" s="119"/>
      <x:c r="O30" s="119"/>
      <x:c r="P30" s="119"/>
      <x:c r="Q30" s="119"/>
      <x:c r="R30" s="119"/>
      <x:c r="S30" s="119"/>
      <x:c r="T30" s="131" t="str">
        <x:f>IF(COUNT(P30:S30)=0,"",ROUND(AVERAGE(P30:S30),1))</x:f>
      </x:c>
      <x:c r="U30" s="126" t="str">
        <x:f>IF(E30="","",IF(OR(B30="",C30="",F30="",G30=""),"ACTION NEEDED",IF(AND(B30="Include",K30=""),"ADD METHOD","OK")))</x:f>
      </x:c>
      <x:c r="V30" s="119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126" t="str">
        <x:f>IF(E31="","","S"&amp;TEXT(ROW()-3,"000"))</x:f>
      </x:c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119"/>
      <x:c r="M31" s="119"/>
      <x:c r="N31" s="119"/>
      <x:c r="O31" s="119"/>
      <x:c r="P31" s="119"/>
      <x:c r="Q31" s="119"/>
      <x:c r="R31" s="119"/>
      <x:c r="S31" s="119"/>
      <x:c r="T31" s="131" t="str">
        <x:f>IF(COUNT(P31:S31)=0,"",ROUND(AVERAGE(P31:S31),1))</x:f>
      </x:c>
      <x:c r="U31" s="126" t="str">
        <x:f>IF(E31="","",IF(OR(B31="",C31="",F31="",G31=""),"ACTION NEEDED",IF(AND(B31="Include",K31=""),"ADD METHOD","OK")))</x:f>
      </x:c>
      <x:c r="V31" s="119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126" t="str">
        <x:f>IF(E32="","","S"&amp;TEXT(ROW()-3,"000"))</x:f>
      </x:c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119"/>
      <x:c r="M32" s="119"/>
      <x:c r="N32" s="119"/>
      <x:c r="O32" s="119"/>
      <x:c r="P32" s="119"/>
      <x:c r="Q32" s="119"/>
      <x:c r="R32" s="119"/>
      <x:c r="S32" s="119"/>
      <x:c r="T32" s="131" t="str">
        <x:f>IF(COUNT(P32:S32)=0,"",ROUND(AVERAGE(P32:S32),1))</x:f>
      </x:c>
      <x:c r="U32" s="126" t="str">
        <x:f>IF(E32="","",IF(OR(B32="",C32="",F32="",G32=""),"ACTION NEEDED",IF(AND(B32="Include",K32=""),"ADD METHOD","OK")))</x:f>
      </x:c>
      <x:c r="V32" s="119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126" t="str">
        <x:f>IF(E33="","","S"&amp;TEXT(ROW()-3,"000"))</x:f>
      </x:c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119"/>
      <x:c r="M33" s="119"/>
      <x:c r="N33" s="119"/>
      <x:c r="O33" s="119"/>
      <x:c r="P33" s="119"/>
      <x:c r="Q33" s="119"/>
      <x:c r="R33" s="119"/>
      <x:c r="S33" s="119"/>
      <x:c r="T33" s="131" t="str">
        <x:f>IF(COUNT(P33:S33)=0,"",ROUND(AVERAGE(P33:S33),1))</x:f>
      </x:c>
      <x:c r="U33" s="126" t="str">
        <x:f>IF(E33="","",IF(OR(B33="",C33="",F33="",G33=""),"ACTION NEEDED",IF(AND(B33="Include",K33=""),"ADD METHOD","OK")))</x:f>
      </x:c>
      <x:c r="V33" s="119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126" t="str">
        <x:f>IF(E34="","","S"&amp;TEXT(ROW()-3,"000"))</x:f>
      </x:c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119"/>
      <x:c r="M34" s="119"/>
      <x:c r="N34" s="119"/>
      <x:c r="O34" s="119"/>
      <x:c r="P34" s="119"/>
      <x:c r="Q34" s="119"/>
      <x:c r="R34" s="119"/>
      <x:c r="S34" s="119"/>
      <x:c r="T34" s="131" t="str">
        <x:f>IF(COUNT(P34:S34)=0,"",ROUND(AVERAGE(P34:S34),1))</x:f>
      </x:c>
      <x:c r="U34" s="126" t="str">
        <x:f>IF(E34="","",IF(OR(B34="",C34="",F34="",G34=""),"ACTION NEEDED",IF(AND(B34="Include",K34=""),"ADD METHOD","OK")))</x:f>
      </x:c>
      <x:c r="V34" s="119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126" t="str">
        <x:f>IF(E35="","","S"&amp;TEXT(ROW()-3,"000"))</x:f>
      </x:c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119"/>
      <x:c r="M35" s="119"/>
      <x:c r="N35" s="119"/>
      <x:c r="O35" s="119"/>
      <x:c r="P35" s="119"/>
      <x:c r="Q35" s="119"/>
      <x:c r="R35" s="119"/>
      <x:c r="S35" s="119"/>
      <x:c r="T35" s="131" t="str">
        <x:f>IF(COUNT(P35:S35)=0,"",ROUND(AVERAGE(P35:S35),1))</x:f>
      </x:c>
      <x:c r="U35" s="126" t="str">
        <x:f>IF(E35="","",IF(OR(B35="",C35="",F35="",G35=""),"ACTION NEEDED",IF(AND(B35="Include",K35=""),"ADD METHOD","OK")))</x:f>
      </x:c>
      <x:c r="V35" s="119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126" t="str">
        <x:f>IF(E36="","","S"&amp;TEXT(ROW()-3,"000"))</x:f>
      </x:c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  <x:c r="Q36" s="119"/>
      <x:c r="R36" s="119"/>
      <x:c r="S36" s="119"/>
      <x:c r="T36" s="131" t="str">
        <x:f>IF(COUNT(P36:S36)=0,"",ROUND(AVERAGE(P36:S36),1))</x:f>
      </x:c>
      <x:c r="U36" s="126" t="str">
        <x:f>IF(E36="","",IF(OR(B36="",C36="",F36="",G36=""),"ACTION NEEDED",IF(AND(B36="Include",K36=""),"ADD METHOD","OK")))</x:f>
      </x:c>
      <x:c r="V36" s="119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126" t="str">
        <x:f>IF(E37="","","S"&amp;TEXT(ROW()-3,"000"))</x:f>
      </x:c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119"/>
      <x:c r="M37" s="119"/>
      <x:c r="N37" s="119"/>
      <x:c r="O37" s="119"/>
      <x:c r="P37" s="119"/>
      <x:c r="Q37" s="119"/>
      <x:c r="R37" s="119"/>
      <x:c r="S37" s="119"/>
      <x:c r="T37" s="131" t="str">
        <x:f>IF(COUNT(P37:S37)=0,"",ROUND(AVERAGE(P37:S37),1))</x:f>
      </x:c>
      <x:c r="U37" s="126" t="str">
        <x:f>IF(E37="","",IF(OR(B37="",C37="",F37="",G37=""),"ACTION NEEDED",IF(AND(B37="Include",K37=""),"ADD METHOD","OK")))</x:f>
      </x:c>
      <x:c r="V37" s="119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126" t="str">
        <x:f>IF(E38="","","S"&amp;TEXT(ROW()-3,"000"))</x:f>
      </x:c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119"/>
      <x:c r="M38" s="119"/>
      <x:c r="N38" s="119"/>
      <x:c r="O38" s="119"/>
      <x:c r="P38" s="119"/>
      <x:c r="Q38" s="119"/>
      <x:c r="R38" s="119"/>
      <x:c r="S38" s="119"/>
      <x:c r="T38" s="131" t="str">
        <x:f>IF(COUNT(P38:S38)=0,"",ROUND(AVERAGE(P38:S38),1))</x:f>
      </x:c>
      <x:c r="U38" s="126" t="str">
        <x:f>IF(E38="","",IF(OR(B38="",C38="",F38="",G38=""),"ACTION NEEDED",IF(AND(B38="Include",K38=""),"ADD METHOD","OK")))</x:f>
      </x:c>
      <x:c r="V38" s="119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126" t="str">
        <x:f>IF(E39="","","S"&amp;TEXT(ROW()-3,"000"))</x:f>
      </x:c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9"/>
      <x:c r="P39" s="119"/>
      <x:c r="Q39" s="119"/>
      <x:c r="R39" s="119"/>
      <x:c r="S39" s="119"/>
      <x:c r="T39" s="131" t="str">
        <x:f>IF(COUNT(P39:S39)=0,"",ROUND(AVERAGE(P39:S39),1))</x:f>
      </x:c>
      <x:c r="U39" s="126" t="str">
        <x:f>IF(E39="","",IF(OR(B39="",C39="",F39="",G39=""),"ACTION NEEDED",IF(AND(B39="Include",K39=""),"ADD METHOD","OK")))</x:f>
      </x:c>
      <x:c r="V39" s="119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126" t="str">
        <x:f>IF(E40="","","S"&amp;TEXT(ROW()-3,"000"))</x:f>
      </x:c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19"/>
      <x:c r="O40" s="119"/>
      <x:c r="P40" s="119"/>
      <x:c r="Q40" s="119"/>
      <x:c r="R40" s="119"/>
      <x:c r="S40" s="119"/>
      <x:c r="T40" s="131" t="str">
        <x:f>IF(COUNT(P40:S40)=0,"",ROUND(AVERAGE(P40:S40),1))</x:f>
      </x:c>
      <x:c r="U40" s="126" t="str">
        <x:f>IF(E40="","",IF(OR(B40="",C40="",F40="",G40=""),"ACTION NEEDED",IF(AND(B40="Include",K40=""),"ADD METHOD","OK")))</x:f>
      </x:c>
      <x:c r="V40" s="119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126" t="str">
        <x:f>IF(E41="","","S"&amp;TEXT(ROW()-3,"000"))</x:f>
      </x:c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  <x:c r="Q41" s="119"/>
      <x:c r="R41" s="119"/>
      <x:c r="S41" s="119"/>
      <x:c r="T41" s="131" t="str">
        <x:f>IF(COUNT(P41:S41)=0,"",ROUND(AVERAGE(P41:S41),1))</x:f>
      </x:c>
      <x:c r="U41" s="126" t="str">
        <x:f>IF(E41="","",IF(OR(B41="",C41="",F41="",G41=""),"ACTION NEEDED",IF(AND(B41="Include",K41=""),"ADD METHOD","OK")))</x:f>
      </x:c>
      <x:c r="V41" s="119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126" t="str">
        <x:f>IF(E42="","","S"&amp;TEXT(ROW()-3,"000"))</x:f>
      </x:c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  <x:c r="Q42" s="119"/>
      <x:c r="R42" s="119"/>
      <x:c r="S42" s="119"/>
      <x:c r="T42" s="131" t="str">
        <x:f>IF(COUNT(P42:S42)=0,"",ROUND(AVERAGE(P42:S42),1))</x:f>
      </x:c>
      <x:c r="U42" s="126" t="str">
        <x:f>IF(E42="","",IF(OR(B42="",C42="",F42="",G42=""),"ACTION NEEDED",IF(AND(B42="Include",K42=""),"ADD METHOD","OK")))</x:f>
      </x:c>
      <x:c r="V42" s="119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126" t="str">
        <x:f>IF(E43="","","S"&amp;TEXT(ROW()-3,"000"))</x:f>
      </x:c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  <x:c r="Q43" s="119"/>
      <x:c r="R43" s="119"/>
      <x:c r="S43" s="119"/>
      <x:c r="T43" s="131" t="str">
        <x:f>IF(COUNT(P43:S43)=0,"",ROUND(AVERAGE(P43:S43),1))</x:f>
      </x:c>
      <x:c r="U43" s="126" t="str">
        <x:f>IF(E43="","",IF(OR(B43="",C43="",F43="",G43=""),"ACTION NEEDED",IF(AND(B43="Include",K43=""),"ADD METHOD","OK")))</x:f>
      </x:c>
      <x:c r="V43" s="119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126" t="str">
        <x:f>IF(E44="","","S"&amp;TEXT(ROW()-3,"000"))</x:f>
      </x:c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  <x:c r="P44" s="119"/>
      <x:c r="Q44" s="119"/>
      <x:c r="R44" s="119"/>
      <x:c r="S44" s="119"/>
      <x:c r="T44" s="131" t="str">
        <x:f>IF(COUNT(P44:S44)=0,"",ROUND(AVERAGE(P44:S44),1))</x:f>
      </x:c>
      <x:c r="U44" s="126" t="str">
        <x:f>IF(E44="","",IF(OR(B44="",C44="",F44="",G44=""),"ACTION NEEDED",IF(AND(B44="Include",K44=""),"ADD METHOD","OK")))</x:f>
      </x:c>
      <x:c r="V44" s="119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126" t="str">
        <x:f>IF(E45="","","S"&amp;TEXT(ROW()-3,"000"))</x:f>
      </x:c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119"/>
      <x:c r="M45" s="119"/>
      <x:c r="N45" s="119"/>
      <x:c r="O45" s="119"/>
      <x:c r="P45" s="119"/>
      <x:c r="Q45" s="119"/>
      <x:c r="R45" s="119"/>
      <x:c r="S45" s="119"/>
      <x:c r="T45" s="131" t="str">
        <x:f>IF(COUNT(P45:S45)=0,"",ROUND(AVERAGE(P45:S45),1))</x:f>
      </x:c>
      <x:c r="U45" s="126" t="str">
        <x:f>IF(E45="","",IF(OR(B45="",C45="",F45="",G45=""),"ACTION NEEDED",IF(AND(B45="Include",K45=""),"ADD METHOD","OK")))</x:f>
      </x:c>
      <x:c r="V45" s="119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126" t="str">
        <x:f>IF(E46="","","S"&amp;TEXT(ROW()-3,"000"))</x:f>
      </x:c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119"/>
      <x:c r="M46" s="119"/>
      <x:c r="N46" s="119"/>
      <x:c r="O46" s="119"/>
      <x:c r="P46" s="119"/>
      <x:c r="Q46" s="119"/>
      <x:c r="R46" s="119"/>
      <x:c r="S46" s="119"/>
      <x:c r="T46" s="131" t="str">
        <x:f>IF(COUNT(P46:S46)=0,"",ROUND(AVERAGE(P46:S46),1))</x:f>
      </x:c>
      <x:c r="U46" s="126" t="str">
        <x:f>IF(E46="","",IF(OR(B46="",C46="",F46="",G46=""),"ACTION NEEDED",IF(AND(B46="Include",K46=""),"ADD METHOD","OK")))</x:f>
      </x:c>
      <x:c r="V46" s="119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126" t="str">
        <x:f>IF(E47="","","S"&amp;TEXT(ROW()-3,"000"))</x:f>
      </x:c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119"/>
      <x:c r="M47" s="119"/>
      <x:c r="N47" s="119"/>
      <x:c r="O47" s="119"/>
      <x:c r="P47" s="119"/>
      <x:c r="Q47" s="119"/>
      <x:c r="R47" s="119"/>
      <x:c r="S47" s="119"/>
      <x:c r="T47" s="131" t="str">
        <x:f>IF(COUNT(P47:S47)=0,"",ROUND(AVERAGE(P47:S47),1))</x:f>
      </x:c>
      <x:c r="U47" s="126" t="str">
        <x:f>IF(E47="","",IF(OR(B47="",C47="",F47="",G47=""),"ACTION NEEDED",IF(AND(B47="Include",K47=""),"ADD METHOD","OK")))</x:f>
      </x:c>
      <x:c r="V47" s="119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126" t="str">
        <x:f>IF(E48="","","S"&amp;TEXT(ROW()-3,"000"))</x:f>
      </x:c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119"/>
      <x:c r="M48" s="119"/>
      <x:c r="N48" s="119"/>
      <x:c r="O48" s="119"/>
      <x:c r="P48" s="119"/>
      <x:c r="Q48" s="119"/>
      <x:c r="R48" s="119"/>
      <x:c r="S48" s="119"/>
      <x:c r="T48" s="131" t="str">
        <x:f>IF(COUNT(P48:S48)=0,"",ROUND(AVERAGE(P48:S48),1))</x:f>
      </x:c>
      <x:c r="U48" s="126" t="str">
        <x:f>IF(E48="","",IF(OR(B48="",C48="",F48="",G48=""),"ACTION NEEDED",IF(AND(B48="Include",K48=""),"ADD METHOD","OK")))</x:f>
      </x:c>
      <x:c r="V48" s="119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126" t="str">
        <x:f>IF(E49="","","S"&amp;TEXT(ROW()-3,"000"))</x:f>
      </x:c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119"/>
      <x:c r="M49" s="119"/>
      <x:c r="N49" s="119"/>
      <x:c r="O49" s="119"/>
      <x:c r="P49" s="119"/>
      <x:c r="Q49" s="119"/>
      <x:c r="R49" s="119"/>
      <x:c r="S49" s="119"/>
      <x:c r="T49" s="131" t="str">
        <x:f>IF(COUNT(P49:S49)=0,"",ROUND(AVERAGE(P49:S49),1))</x:f>
      </x:c>
      <x:c r="U49" s="126" t="str">
        <x:f>IF(E49="","",IF(OR(B49="",C49="",F49="",G49=""),"ACTION NEEDED",IF(AND(B49="Include",K49=""),"ADD METHOD","OK")))</x:f>
      </x:c>
      <x:c r="V49" s="119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126" t="str">
        <x:f>IF(E50="","","S"&amp;TEXT(ROW()-3,"000"))</x:f>
      </x:c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119"/>
      <x:c r="M50" s="119"/>
      <x:c r="N50" s="119"/>
      <x:c r="O50" s="119"/>
      <x:c r="P50" s="119"/>
      <x:c r="Q50" s="119"/>
      <x:c r="R50" s="119"/>
      <x:c r="S50" s="119"/>
      <x:c r="T50" s="131" t="str">
        <x:f>IF(COUNT(P50:S50)=0,"",ROUND(AVERAGE(P50:S50),1))</x:f>
      </x:c>
      <x:c r="U50" s="126" t="str">
        <x:f>IF(E50="","",IF(OR(B50="",C50="",F50="",G50=""),"ACTION NEEDED",IF(AND(B50="Include",K50=""),"ADD METHOD","OK")))</x:f>
      </x:c>
      <x:c r="V50" s="119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126" t="str">
        <x:f>IF(E51="","","S"&amp;TEXT(ROW()-3,"000"))</x:f>
      </x:c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119"/>
      <x:c r="M51" s="119"/>
      <x:c r="N51" s="119"/>
      <x:c r="O51" s="119"/>
      <x:c r="P51" s="119"/>
      <x:c r="Q51" s="119"/>
      <x:c r="R51" s="119"/>
      <x:c r="S51" s="119"/>
      <x:c r="T51" s="131" t="str">
        <x:f>IF(COUNT(P51:S51)=0,"",ROUND(AVERAGE(P51:S51),1))</x:f>
      </x:c>
      <x:c r="U51" s="126" t="str">
        <x:f>IF(E51="","",IF(OR(B51="",C51="",F51="",G51=""),"ACTION NEEDED",IF(AND(B51="Include",K51=""),"ADD METHOD","OK")))</x:f>
      </x:c>
      <x:c r="V51" s="119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126" t="str">
        <x:f>IF(E52="","","S"&amp;TEXT(ROW()-3,"000"))</x:f>
      </x:c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119"/>
      <x:c r="M52" s="119"/>
      <x:c r="N52" s="119"/>
      <x:c r="O52" s="119"/>
      <x:c r="P52" s="119"/>
      <x:c r="Q52" s="119"/>
      <x:c r="R52" s="119"/>
      <x:c r="S52" s="119"/>
      <x:c r="T52" s="131" t="str">
        <x:f>IF(COUNT(P52:S52)=0,"",ROUND(AVERAGE(P52:S52),1))</x:f>
      </x:c>
      <x:c r="U52" s="126" t="str">
        <x:f>IF(E52="","",IF(OR(B52="",C52="",F52="",G52=""),"ACTION NEEDED",IF(AND(B52="Include",K52=""),"ADD METHOD","OK")))</x:f>
      </x:c>
      <x:c r="V52" s="119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126" t="str">
        <x:f>IF(E53="","","S"&amp;TEXT(ROW()-3,"000"))</x:f>
      </x:c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119"/>
      <x:c r="M53" s="119"/>
      <x:c r="N53" s="119"/>
      <x:c r="O53" s="119"/>
      <x:c r="P53" s="119"/>
      <x:c r="Q53" s="119"/>
      <x:c r="R53" s="119"/>
      <x:c r="S53" s="119"/>
      <x:c r="T53" s="131" t="str">
        <x:f>IF(COUNT(P53:S53)=0,"",ROUND(AVERAGE(P53:S53),1))</x:f>
      </x:c>
      <x:c r="U53" s="126" t="str">
        <x:f>IF(E53="","",IF(OR(B53="",C53="",F53="",G53=""),"ACTION NEEDED",IF(AND(B53="Include",K53=""),"ADD METHOD","OK")))</x:f>
      </x:c>
      <x:c r="V53" s="119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126" t="str">
        <x:f>IF(E54="","","S"&amp;TEXT(ROW()-3,"000"))</x:f>
      </x:c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119"/>
      <x:c r="M54" s="119"/>
      <x:c r="N54" s="119"/>
      <x:c r="O54" s="119"/>
      <x:c r="P54" s="119"/>
      <x:c r="Q54" s="119"/>
      <x:c r="R54" s="119"/>
      <x:c r="S54" s="119"/>
      <x:c r="T54" s="131" t="str">
        <x:f>IF(COUNT(P54:S54)=0,"",ROUND(AVERAGE(P54:S54),1))</x:f>
      </x:c>
      <x:c r="U54" s="126" t="str">
        <x:f>IF(E54="","",IF(OR(B54="",C54="",F54="",G54=""),"ACTION NEEDED",IF(AND(B54="Include",K54=""),"ADD METHOD","OK")))</x:f>
      </x:c>
      <x:c r="V54" s="119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126" t="str">
        <x:f>IF(E55="","","S"&amp;TEXT(ROW()-3,"000"))</x:f>
      </x:c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119"/>
      <x:c r="M55" s="119"/>
      <x:c r="N55" s="119"/>
      <x:c r="O55" s="119"/>
      <x:c r="P55" s="119"/>
      <x:c r="Q55" s="119"/>
      <x:c r="R55" s="119"/>
      <x:c r="S55" s="119"/>
      <x:c r="T55" s="131" t="str">
        <x:f>IF(COUNT(P55:S55)=0,"",ROUND(AVERAGE(P55:S55),1))</x:f>
      </x:c>
      <x:c r="U55" s="126" t="str">
        <x:f>IF(E55="","",IF(OR(B55="",C55="",F55="",G55=""),"ACTION NEEDED",IF(AND(B55="Include",K55=""),"ADD METHOD","OK")))</x:f>
      </x:c>
      <x:c r="V55" s="119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126" t="str">
        <x:f>IF(E56="","","S"&amp;TEXT(ROW()-3,"000"))</x:f>
      </x:c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119"/>
      <x:c r="M56" s="119"/>
      <x:c r="N56" s="119"/>
      <x:c r="O56" s="119"/>
      <x:c r="P56" s="119"/>
      <x:c r="Q56" s="119"/>
      <x:c r="R56" s="119"/>
      <x:c r="S56" s="119"/>
      <x:c r="T56" s="131" t="str">
        <x:f>IF(COUNT(P56:S56)=0,"",ROUND(AVERAGE(P56:S56),1))</x:f>
      </x:c>
      <x:c r="U56" s="126" t="str">
        <x:f>IF(E56="","",IF(OR(B56="",C56="",F56="",G56=""),"ACTION NEEDED",IF(AND(B56="Include",K56=""),"ADD METHOD","OK")))</x:f>
      </x:c>
      <x:c r="V56" s="119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126" t="str">
        <x:f>IF(E57="","","S"&amp;TEXT(ROW()-3,"000"))</x:f>
      </x:c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119"/>
      <x:c r="M57" s="119"/>
      <x:c r="N57" s="119"/>
      <x:c r="O57" s="119"/>
      <x:c r="P57" s="119"/>
      <x:c r="Q57" s="119"/>
      <x:c r="R57" s="119"/>
      <x:c r="S57" s="119"/>
      <x:c r="T57" s="131" t="str">
        <x:f>IF(COUNT(P57:S57)=0,"",ROUND(AVERAGE(P57:S57),1))</x:f>
      </x:c>
      <x:c r="U57" s="126" t="str">
        <x:f>IF(E57="","",IF(OR(B57="",C57="",F57="",G57=""),"ACTION NEEDED",IF(AND(B57="Include",K57=""),"ADD METHOD","OK")))</x:f>
      </x:c>
      <x:c r="V57" s="119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126" t="str">
        <x:f>IF(E58="","","S"&amp;TEXT(ROW()-3,"000"))</x:f>
      </x:c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119"/>
      <x:c r="M58" s="119"/>
      <x:c r="N58" s="119"/>
      <x:c r="O58" s="119"/>
      <x:c r="P58" s="119"/>
      <x:c r="Q58" s="119"/>
      <x:c r="R58" s="119"/>
      <x:c r="S58" s="119"/>
      <x:c r="T58" s="131" t="str">
        <x:f>IF(COUNT(P58:S58)=0,"",ROUND(AVERAGE(P58:S58),1))</x:f>
      </x:c>
      <x:c r="U58" s="126" t="str">
        <x:f>IF(E58="","",IF(OR(B58="",C58="",F58="",G58=""),"ACTION NEEDED",IF(AND(B58="Include",K58=""),"ADD METHOD","OK")))</x:f>
      </x:c>
      <x:c r="V58" s="119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126" t="str">
        <x:f>IF(E59="","","S"&amp;TEXT(ROW()-3,"000"))</x:f>
      </x:c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119"/>
      <x:c r="M59" s="119"/>
      <x:c r="N59" s="119"/>
      <x:c r="O59" s="119"/>
      <x:c r="P59" s="119"/>
      <x:c r="Q59" s="119"/>
      <x:c r="R59" s="119"/>
      <x:c r="S59" s="119"/>
      <x:c r="T59" s="131" t="str">
        <x:f>IF(COUNT(P59:S59)=0,"",ROUND(AVERAGE(P59:S59),1))</x:f>
      </x:c>
      <x:c r="U59" s="126" t="str">
        <x:f>IF(E59="","",IF(OR(B59="",C59="",F59="",G59=""),"ACTION NEEDED",IF(AND(B59="Include",K59=""),"ADD METHOD","OK")))</x:f>
      </x:c>
      <x:c r="V59" s="119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126" t="str">
        <x:f>IF(E60="","","S"&amp;TEXT(ROW()-3,"000"))</x:f>
      </x:c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119"/>
      <x:c r="M60" s="119"/>
      <x:c r="N60" s="119"/>
      <x:c r="O60" s="119"/>
      <x:c r="P60" s="119"/>
      <x:c r="Q60" s="119"/>
      <x:c r="R60" s="119"/>
      <x:c r="S60" s="119"/>
      <x:c r="T60" s="131" t="str">
        <x:f>IF(COUNT(P60:S60)=0,"",ROUND(AVERAGE(P60:S60),1))</x:f>
      </x:c>
      <x:c r="U60" s="126" t="str">
        <x:f>IF(E60="","",IF(OR(B60="",C60="",F60="",G60=""),"ACTION NEEDED",IF(AND(B60="Include",K60=""),"ADD METHOD","OK")))</x:f>
      </x:c>
      <x:c r="V60" s="119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126" t="str">
        <x:f>IF(E61="","","S"&amp;TEXT(ROW()-3,"000"))</x:f>
      </x:c>
      <x:c r="B61" s="119"/>
      <x:c r="C61" s="119"/>
      <x:c r="D61" s="119"/>
      <x:c r="E61" s="119"/>
      <x:c r="F61" s="119"/>
      <x:c r="G61" s="119"/>
      <x:c r="H61" s="119"/>
      <x:c r="I61" s="119"/>
      <x:c r="J61" s="119"/>
      <x:c r="K61" s="119"/>
      <x:c r="L61" s="119"/>
      <x:c r="M61" s="119"/>
      <x:c r="N61" s="119"/>
      <x:c r="O61" s="119"/>
      <x:c r="P61" s="119"/>
      <x:c r="Q61" s="119"/>
      <x:c r="R61" s="119"/>
      <x:c r="S61" s="119"/>
      <x:c r="T61" s="131" t="str">
        <x:f>IF(COUNT(P61:S61)=0,"",ROUND(AVERAGE(P61:S61),1))</x:f>
      </x:c>
      <x:c r="U61" s="126" t="str">
        <x:f>IF(E61="","",IF(OR(B61="",C61="",F61="",G61=""),"ACTION NEEDED",IF(AND(B61="Include",K61=""),"ADD METHOD","OK")))</x:f>
      </x:c>
      <x:c r="V61" s="119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126" t="str">
        <x:f>IF(E62="","","S"&amp;TEXT(ROW()-3,"000"))</x:f>
      </x:c>
      <x:c r="B62" s="119"/>
      <x:c r="C62" s="119"/>
      <x:c r="D62" s="119"/>
      <x:c r="E62" s="119"/>
      <x:c r="F62" s="119"/>
      <x:c r="G62" s="119"/>
      <x:c r="H62" s="119"/>
      <x:c r="I62" s="119"/>
      <x:c r="J62" s="119"/>
      <x:c r="K62" s="119"/>
      <x:c r="L62" s="119"/>
      <x:c r="M62" s="119"/>
      <x:c r="N62" s="119"/>
      <x:c r="O62" s="119"/>
      <x:c r="P62" s="119"/>
      <x:c r="Q62" s="119"/>
      <x:c r="R62" s="119"/>
      <x:c r="S62" s="119"/>
      <x:c r="T62" s="131" t="str">
        <x:f>IF(COUNT(P62:S62)=0,"",ROUND(AVERAGE(P62:S62),1))</x:f>
      </x:c>
      <x:c r="U62" s="126" t="str">
        <x:f>IF(E62="","",IF(OR(B62="",C62="",F62="",G62=""),"ACTION NEEDED",IF(AND(B62="Include",K62=""),"ADD METHOD","OK")))</x:f>
      </x:c>
      <x:c r="V62" s="119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126" t="str">
        <x:f>IF(E63="","","S"&amp;TEXT(ROW()-3,"000"))</x:f>
      </x:c>
      <x:c r="B63" s="119"/>
      <x:c r="C63" s="119"/>
      <x:c r="D63" s="119"/>
      <x:c r="E63" s="119"/>
      <x:c r="F63" s="119"/>
      <x:c r="G63" s="119"/>
      <x:c r="H63" s="119"/>
      <x:c r="I63" s="119"/>
      <x:c r="J63" s="119"/>
      <x:c r="K63" s="119"/>
      <x:c r="L63" s="119"/>
      <x:c r="M63" s="119"/>
      <x:c r="N63" s="119"/>
      <x:c r="O63" s="119"/>
      <x:c r="P63" s="119"/>
      <x:c r="Q63" s="119"/>
      <x:c r="R63" s="119"/>
      <x:c r="S63" s="119"/>
      <x:c r="T63" s="131" t="str">
        <x:f>IF(COUNT(P63:S63)=0,"",ROUND(AVERAGE(P63:S63),1))</x:f>
      </x:c>
      <x:c r="U63" s="126" t="str">
        <x:f>IF(E63="","",IF(OR(B63="",C63="",F63="",G63=""),"ACTION NEEDED",IF(AND(B63="Include",K63=""),"ADD METHOD","OK")))</x:f>
      </x:c>
      <x:c r="V63" s="119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126" t="str">
        <x:f>IF(E64="","","S"&amp;TEXT(ROW()-3,"000"))</x:f>
      </x:c>
      <x:c r="B64" s="119"/>
      <x:c r="C64" s="119"/>
      <x:c r="D64" s="119"/>
      <x:c r="E64" s="119"/>
      <x:c r="F64" s="119"/>
      <x:c r="G64" s="119"/>
      <x:c r="H64" s="119"/>
      <x:c r="I64" s="119"/>
      <x:c r="J64" s="119"/>
      <x:c r="K64" s="119"/>
      <x:c r="L64" s="119"/>
      <x:c r="M64" s="119"/>
      <x:c r="N64" s="119"/>
      <x:c r="O64" s="119"/>
      <x:c r="P64" s="119"/>
      <x:c r="Q64" s="119"/>
      <x:c r="R64" s="119"/>
      <x:c r="S64" s="119"/>
      <x:c r="T64" s="131" t="str">
        <x:f>IF(COUNT(P64:S64)=0,"",ROUND(AVERAGE(P64:S64),1))</x:f>
      </x:c>
      <x:c r="U64" s="126" t="str">
        <x:f>IF(E64="","",IF(OR(B64="",C64="",F64="",G64=""),"ACTION NEEDED",IF(AND(B64="Include",K64=""),"ADD METHOD","OK")))</x:f>
      </x:c>
      <x:c r="V64" s="119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126" t="str">
        <x:f>IF(E65="","","S"&amp;TEXT(ROW()-3,"000"))</x:f>
      </x:c>
      <x:c r="B65" s="119"/>
      <x:c r="C65" s="119"/>
      <x:c r="D65" s="119"/>
      <x:c r="E65" s="119"/>
      <x:c r="F65" s="119"/>
      <x:c r="G65" s="119"/>
      <x:c r="H65" s="119"/>
      <x:c r="I65" s="119"/>
      <x:c r="J65" s="119"/>
      <x:c r="K65" s="119"/>
      <x:c r="L65" s="119"/>
      <x:c r="M65" s="119"/>
      <x:c r="N65" s="119"/>
      <x:c r="O65" s="119"/>
      <x:c r="P65" s="119"/>
      <x:c r="Q65" s="119"/>
      <x:c r="R65" s="119"/>
      <x:c r="S65" s="119"/>
      <x:c r="T65" s="131" t="str">
        <x:f>IF(COUNT(P65:S65)=0,"",ROUND(AVERAGE(P65:S65),1))</x:f>
      </x:c>
      <x:c r="U65" s="126" t="str">
        <x:f>IF(E65="","",IF(OR(B65="",C65="",F65="",G65=""),"ACTION NEEDED",IF(AND(B65="Include",K65=""),"ADD METHOD","OK")))</x:f>
      </x:c>
      <x:c r="V65" s="119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126" t="str">
        <x:f>IF(E66="","","S"&amp;TEXT(ROW()-3,"000"))</x:f>
      </x:c>
      <x:c r="B66" s="119"/>
      <x:c r="C66" s="119"/>
      <x:c r="D66" s="119"/>
      <x:c r="E66" s="119"/>
      <x:c r="F66" s="119"/>
      <x:c r="G66" s="119"/>
      <x:c r="H66" s="119"/>
      <x:c r="I66" s="119"/>
      <x:c r="J66" s="119"/>
      <x:c r="K66" s="119"/>
      <x:c r="L66" s="119"/>
      <x:c r="M66" s="119"/>
      <x:c r="N66" s="119"/>
      <x:c r="O66" s="119"/>
      <x:c r="P66" s="119"/>
      <x:c r="Q66" s="119"/>
      <x:c r="R66" s="119"/>
      <x:c r="S66" s="119"/>
      <x:c r="T66" s="131" t="str">
        <x:f>IF(COUNT(P66:S66)=0,"",ROUND(AVERAGE(P66:S66),1))</x:f>
      </x:c>
      <x:c r="U66" s="126" t="str">
        <x:f>IF(E66="","",IF(OR(B66="",C66="",F66="",G66=""),"ACTION NEEDED",IF(AND(B66="Include",K66=""),"ADD METHOD","OK")))</x:f>
      </x:c>
      <x:c r="V66" s="119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126" t="str">
        <x:f>IF(E67="","","S"&amp;TEXT(ROW()-3,"000"))</x:f>
      </x:c>
      <x:c r="B67" s="119"/>
      <x:c r="C67" s="119"/>
      <x:c r="D67" s="119"/>
      <x:c r="E67" s="119"/>
      <x:c r="F67" s="119"/>
      <x:c r="G67" s="119"/>
      <x:c r="H67" s="119"/>
      <x:c r="I67" s="119"/>
      <x:c r="J67" s="119"/>
      <x:c r="K67" s="119"/>
      <x:c r="L67" s="119"/>
      <x:c r="M67" s="119"/>
      <x:c r="N67" s="119"/>
      <x:c r="O67" s="119"/>
      <x:c r="P67" s="119"/>
      <x:c r="Q67" s="119"/>
      <x:c r="R67" s="119"/>
      <x:c r="S67" s="119"/>
      <x:c r="T67" s="131" t="str">
        <x:f>IF(COUNT(P67:S67)=0,"",ROUND(AVERAGE(P67:S67),1))</x:f>
      </x:c>
      <x:c r="U67" s="126" t="str">
        <x:f>IF(E67="","",IF(OR(B67="",C67="",F67="",G67=""),"ACTION NEEDED",IF(AND(B67="Include",K67=""),"ADD METHOD","OK")))</x:f>
      </x:c>
      <x:c r="V67" s="119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126" t="str">
        <x:f>IF(E68="","","S"&amp;TEXT(ROW()-3,"000"))</x:f>
      </x:c>
      <x:c r="B68" s="119"/>
      <x:c r="C68" s="119"/>
      <x:c r="D68" s="119"/>
      <x:c r="E68" s="119"/>
      <x:c r="F68" s="119"/>
      <x:c r="G68" s="119"/>
      <x:c r="H68" s="119"/>
      <x:c r="I68" s="119"/>
      <x:c r="J68" s="119"/>
      <x:c r="K68" s="119"/>
      <x:c r="L68" s="119"/>
      <x:c r="M68" s="119"/>
      <x:c r="N68" s="119"/>
      <x:c r="O68" s="119"/>
      <x:c r="P68" s="119"/>
      <x:c r="Q68" s="119"/>
      <x:c r="R68" s="119"/>
      <x:c r="S68" s="119"/>
      <x:c r="T68" s="131" t="str">
        <x:f>IF(COUNT(P68:S68)=0,"",ROUND(AVERAGE(P68:S68),1))</x:f>
      </x:c>
      <x:c r="U68" s="126" t="str">
        <x:f>IF(E68="","",IF(OR(B68="",C68="",F68="",G68=""),"ACTION NEEDED",IF(AND(B68="Include",K68=""),"ADD METHOD","OK")))</x:f>
      </x:c>
      <x:c r="V68" s="119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126" t="str">
        <x:f>IF(E69="","","S"&amp;TEXT(ROW()-3,"000"))</x:f>
      </x:c>
      <x:c r="B69" s="119"/>
      <x:c r="C69" s="119"/>
      <x:c r="D69" s="119"/>
      <x:c r="E69" s="119"/>
      <x:c r="F69" s="119"/>
      <x:c r="G69" s="119"/>
      <x:c r="H69" s="119"/>
      <x:c r="I69" s="119"/>
      <x:c r="J69" s="119"/>
      <x:c r="K69" s="119"/>
      <x:c r="L69" s="119"/>
      <x:c r="M69" s="119"/>
      <x:c r="N69" s="119"/>
      <x:c r="O69" s="119"/>
      <x:c r="P69" s="119"/>
      <x:c r="Q69" s="119"/>
      <x:c r="R69" s="119"/>
      <x:c r="S69" s="119"/>
      <x:c r="T69" s="131" t="str">
        <x:f>IF(COUNT(P69:S69)=0,"",ROUND(AVERAGE(P69:S69),1))</x:f>
      </x:c>
      <x:c r="U69" s="126" t="str">
        <x:f>IF(E69="","",IF(OR(B69="",C69="",F69="",G69=""),"ACTION NEEDED",IF(AND(B69="Include",K69=""),"ADD METHOD","OK")))</x:f>
      </x:c>
      <x:c r="V69" s="119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126" t="str">
        <x:f>IF(E70="","","S"&amp;TEXT(ROW()-3,"000"))</x:f>
      </x:c>
      <x:c r="B70" s="119"/>
      <x:c r="C70" s="119"/>
      <x:c r="D70" s="119"/>
      <x:c r="E70" s="119"/>
      <x:c r="F70" s="119"/>
      <x:c r="G70" s="119"/>
      <x:c r="H70" s="119"/>
      <x:c r="I70" s="119"/>
      <x:c r="J70" s="119"/>
      <x:c r="K70" s="119"/>
      <x:c r="L70" s="119"/>
      <x:c r="M70" s="119"/>
      <x:c r="N70" s="119"/>
      <x:c r="O70" s="119"/>
      <x:c r="P70" s="119"/>
      <x:c r="Q70" s="119"/>
      <x:c r="R70" s="119"/>
      <x:c r="S70" s="119"/>
      <x:c r="T70" s="131" t="str">
        <x:f>IF(COUNT(P70:S70)=0,"",ROUND(AVERAGE(P70:S70),1))</x:f>
      </x:c>
      <x:c r="U70" s="126" t="str">
        <x:f>IF(E70="","",IF(OR(B70="",C70="",F70="",G70=""),"ACTION NEEDED",IF(AND(B70="Include",K70=""),"ADD METHOD","OK")))</x:f>
      </x:c>
      <x:c r="V70" s="119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126" t="str">
        <x:f>IF(E71="","","S"&amp;TEXT(ROW()-3,"000"))</x:f>
      </x:c>
      <x:c r="B71" s="119"/>
      <x:c r="C71" s="119"/>
      <x:c r="D71" s="119"/>
      <x:c r="E71" s="119"/>
      <x:c r="F71" s="119"/>
      <x:c r="G71" s="119"/>
      <x:c r="H71" s="119"/>
      <x:c r="I71" s="119"/>
      <x:c r="J71" s="119"/>
      <x:c r="K71" s="119"/>
      <x:c r="L71" s="119"/>
      <x:c r="M71" s="119"/>
      <x:c r="N71" s="119"/>
      <x:c r="O71" s="119"/>
      <x:c r="P71" s="119"/>
      <x:c r="Q71" s="119"/>
      <x:c r="R71" s="119"/>
      <x:c r="S71" s="119"/>
      <x:c r="T71" s="131" t="str">
        <x:f>IF(COUNT(P71:S71)=0,"",ROUND(AVERAGE(P71:S71),1))</x:f>
      </x:c>
      <x:c r="U71" s="126" t="str">
        <x:f>IF(E71="","",IF(OR(B71="",C71="",F71="",G71=""),"ACTION NEEDED",IF(AND(B71="Include",K71=""),"ADD METHOD","OK")))</x:f>
      </x:c>
      <x:c r="V71" s="119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126" t="str">
        <x:f>IF(E72="","","S"&amp;TEXT(ROW()-3,"000"))</x:f>
      </x:c>
      <x:c r="B72" s="119"/>
      <x:c r="C72" s="119"/>
      <x:c r="D72" s="119"/>
      <x:c r="E72" s="119"/>
      <x:c r="F72" s="119"/>
      <x:c r="G72" s="119"/>
      <x:c r="H72" s="119"/>
      <x:c r="I72" s="119"/>
      <x:c r="J72" s="119"/>
      <x:c r="K72" s="119"/>
      <x:c r="L72" s="119"/>
      <x:c r="M72" s="119"/>
      <x:c r="N72" s="119"/>
      <x:c r="O72" s="119"/>
      <x:c r="P72" s="119"/>
      <x:c r="Q72" s="119"/>
      <x:c r="R72" s="119"/>
      <x:c r="S72" s="119"/>
      <x:c r="T72" s="131" t="str">
        <x:f>IF(COUNT(P72:S72)=0,"",ROUND(AVERAGE(P72:S72),1))</x:f>
      </x:c>
      <x:c r="U72" s="126" t="str">
        <x:f>IF(E72="","",IF(OR(B72="",C72="",F72="",G72=""),"ACTION NEEDED",IF(AND(B72="Include",K72=""),"ADD METHOD","OK")))</x:f>
      </x:c>
      <x:c r="V72" s="119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126" t="str">
        <x:f>IF(E73="","","S"&amp;TEXT(ROW()-3,"000"))</x:f>
      </x:c>
      <x:c r="B73" s="119"/>
      <x:c r="C73" s="119"/>
      <x:c r="D73" s="119"/>
      <x:c r="E73" s="119"/>
      <x:c r="F73" s="119"/>
      <x:c r="G73" s="119"/>
      <x:c r="H73" s="119"/>
      <x:c r="I73" s="119"/>
      <x:c r="J73" s="119"/>
      <x:c r="K73" s="119"/>
      <x:c r="L73" s="119"/>
      <x:c r="M73" s="119"/>
      <x:c r="N73" s="119"/>
      <x:c r="O73" s="119"/>
      <x:c r="P73" s="119"/>
      <x:c r="Q73" s="119"/>
      <x:c r="R73" s="119"/>
      <x:c r="S73" s="119"/>
      <x:c r="T73" s="131" t="str">
        <x:f>IF(COUNT(P73:S73)=0,"",ROUND(AVERAGE(P73:S73),1))</x:f>
      </x:c>
      <x:c r="U73" s="126" t="str">
        <x:f>IF(E73="","",IF(OR(B73="",C73="",F73="",G73=""),"ACTION NEEDED",IF(AND(B73="Include",K73=""),"ADD METHOD","OK")))</x:f>
      </x:c>
      <x:c r="V73" s="119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126" t="str">
        <x:f>IF(E74="","","S"&amp;TEXT(ROW()-3,"000"))</x:f>
      </x:c>
      <x:c r="B74" s="119"/>
      <x:c r="C74" s="119"/>
      <x:c r="D74" s="119"/>
      <x:c r="E74" s="119"/>
      <x:c r="F74" s="119"/>
      <x:c r="G74" s="119"/>
      <x:c r="H74" s="119"/>
      <x:c r="I74" s="119"/>
      <x:c r="J74" s="119"/>
      <x:c r="K74" s="119"/>
      <x:c r="L74" s="119"/>
      <x:c r="M74" s="119"/>
      <x:c r="N74" s="119"/>
      <x:c r="O74" s="119"/>
      <x:c r="P74" s="119"/>
      <x:c r="Q74" s="119"/>
      <x:c r="R74" s="119"/>
      <x:c r="S74" s="119"/>
      <x:c r="T74" s="131" t="str">
        <x:f>IF(COUNT(P74:S74)=0,"",ROUND(AVERAGE(P74:S74),1))</x:f>
      </x:c>
      <x:c r="U74" s="126" t="str">
        <x:f>IF(E74="","",IF(OR(B74="",C74="",F74="",G74=""),"ACTION NEEDED",IF(AND(B74="Include",K74=""),"ADD METHOD","OK")))</x:f>
      </x:c>
      <x:c r="V74" s="119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126" t="str">
        <x:f>IF(E75="","","S"&amp;TEXT(ROW()-3,"000"))</x:f>
      </x:c>
      <x:c r="B75" s="119"/>
      <x:c r="C75" s="119"/>
      <x:c r="D75" s="119"/>
      <x:c r="E75" s="119"/>
      <x:c r="F75" s="119"/>
      <x:c r="G75" s="119"/>
      <x:c r="H75" s="119"/>
      <x:c r="I75" s="119"/>
      <x:c r="J75" s="119"/>
      <x:c r="K75" s="119"/>
      <x:c r="L75" s="119"/>
      <x:c r="M75" s="119"/>
      <x:c r="N75" s="119"/>
      <x:c r="O75" s="119"/>
      <x:c r="P75" s="119"/>
      <x:c r="Q75" s="119"/>
      <x:c r="R75" s="119"/>
      <x:c r="S75" s="119"/>
      <x:c r="T75" s="131" t="str">
        <x:f>IF(COUNT(P75:S75)=0,"",ROUND(AVERAGE(P75:S75),1))</x:f>
      </x:c>
      <x:c r="U75" s="126" t="str">
        <x:f>IF(E75="","",IF(OR(B75="",C75="",F75="",G75=""),"ACTION NEEDED",IF(AND(B75="Include",K75=""),"ADD METHOD","OK")))</x:f>
      </x:c>
      <x:c r="V75" s="119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126" t="str">
        <x:f>IF(E76="","","S"&amp;TEXT(ROW()-3,"000"))</x:f>
      </x:c>
      <x:c r="B76" s="119"/>
      <x:c r="C76" s="119"/>
      <x:c r="D76" s="119"/>
      <x:c r="E76" s="119"/>
      <x:c r="F76" s="119"/>
      <x:c r="G76" s="119"/>
      <x:c r="H76" s="119"/>
      <x:c r="I76" s="119"/>
      <x:c r="J76" s="119"/>
      <x:c r="K76" s="119"/>
      <x:c r="L76" s="119"/>
      <x:c r="M76" s="119"/>
      <x:c r="N76" s="119"/>
      <x:c r="O76" s="119"/>
      <x:c r="P76" s="119"/>
      <x:c r="Q76" s="119"/>
      <x:c r="R76" s="119"/>
      <x:c r="S76" s="119"/>
      <x:c r="T76" s="131" t="str">
        <x:f>IF(COUNT(P76:S76)=0,"",ROUND(AVERAGE(P76:S76),1))</x:f>
      </x:c>
      <x:c r="U76" s="126" t="str">
        <x:f>IF(E76="","",IF(OR(B76="",C76="",F76="",G76=""),"ACTION NEEDED",IF(AND(B76="Include",K76=""),"ADD METHOD","OK")))</x:f>
      </x:c>
      <x:c r="V76" s="119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126" t="str">
        <x:f>IF(E77="","","S"&amp;TEXT(ROW()-3,"000"))</x:f>
      </x:c>
      <x:c r="B77" s="119"/>
      <x:c r="C77" s="119"/>
      <x:c r="D77" s="119"/>
      <x:c r="E77" s="119"/>
      <x:c r="F77" s="119"/>
      <x:c r="G77" s="119"/>
      <x:c r="H77" s="119"/>
      <x:c r="I77" s="119"/>
      <x:c r="J77" s="119"/>
      <x:c r="K77" s="119"/>
      <x:c r="L77" s="119"/>
      <x:c r="M77" s="119"/>
      <x:c r="N77" s="119"/>
      <x:c r="O77" s="119"/>
      <x:c r="P77" s="119"/>
      <x:c r="Q77" s="119"/>
      <x:c r="R77" s="119"/>
      <x:c r="S77" s="119"/>
      <x:c r="T77" s="131" t="str">
        <x:f>IF(COUNT(P77:S77)=0,"",ROUND(AVERAGE(P77:S77),1))</x:f>
      </x:c>
      <x:c r="U77" s="126" t="str">
        <x:f>IF(E77="","",IF(OR(B77="",C77="",F77="",G77=""),"ACTION NEEDED",IF(AND(B77="Include",K77=""),"ADD METHOD","OK")))</x:f>
      </x:c>
      <x:c r="V77" s="119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126" t="str">
        <x:f>IF(E78="","","S"&amp;TEXT(ROW()-3,"000"))</x:f>
      </x:c>
      <x:c r="B78" s="119"/>
      <x:c r="C78" s="119"/>
      <x:c r="D78" s="119"/>
      <x:c r="E78" s="119"/>
      <x:c r="F78" s="119"/>
      <x:c r="G78" s="119"/>
      <x:c r="H78" s="119"/>
      <x:c r="I78" s="119"/>
      <x:c r="J78" s="119"/>
      <x:c r="K78" s="119"/>
      <x:c r="L78" s="119"/>
      <x:c r="M78" s="119"/>
      <x:c r="N78" s="119"/>
      <x:c r="O78" s="119"/>
      <x:c r="P78" s="119"/>
      <x:c r="Q78" s="119"/>
      <x:c r="R78" s="119"/>
      <x:c r="S78" s="119"/>
      <x:c r="T78" s="131" t="str">
        <x:f>IF(COUNT(P78:S78)=0,"",ROUND(AVERAGE(P78:S78),1))</x:f>
      </x:c>
      <x:c r="U78" s="126" t="str">
        <x:f>IF(E78="","",IF(OR(B78="",C78="",F78="",G78=""),"ACTION NEEDED",IF(AND(B78="Include",K78=""),"ADD METHOD","OK")))</x:f>
      </x:c>
      <x:c r="V78" s="119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126" t="str">
        <x:f>IF(E79="","","S"&amp;TEXT(ROW()-3,"000"))</x:f>
      </x:c>
      <x:c r="B79" s="119"/>
      <x:c r="C79" s="119"/>
      <x:c r="D79" s="119"/>
      <x:c r="E79" s="119"/>
      <x:c r="F79" s="119"/>
      <x:c r="G79" s="119"/>
      <x:c r="H79" s="119"/>
      <x:c r="I79" s="119"/>
      <x:c r="J79" s="119"/>
      <x:c r="K79" s="119"/>
      <x:c r="L79" s="119"/>
      <x:c r="M79" s="119"/>
      <x:c r="N79" s="119"/>
      <x:c r="O79" s="119"/>
      <x:c r="P79" s="119"/>
      <x:c r="Q79" s="119"/>
      <x:c r="R79" s="119"/>
      <x:c r="S79" s="119"/>
      <x:c r="T79" s="131" t="str">
        <x:f>IF(COUNT(P79:S79)=0,"",ROUND(AVERAGE(P79:S79),1))</x:f>
      </x:c>
      <x:c r="U79" s="126" t="str">
        <x:f>IF(E79="","",IF(OR(B79="",C79="",F79="",G79=""),"ACTION NEEDED",IF(AND(B79="Include",K79=""),"ADD METHOD","OK")))</x:f>
      </x:c>
      <x:c r="V79" s="119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126" t="str">
        <x:f>IF(E80="","","S"&amp;TEXT(ROW()-3,"000"))</x:f>
      </x:c>
      <x:c r="B80" s="119"/>
      <x:c r="C80" s="119"/>
      <x:c r="D80" s="119"/>
      <x:c r="E80" s="119"/>
      <x:c r="F80" s="119"/>
      <x:c r="G80" s="119"/>
      <x:c r="H80" s="119"/>
      <x:c r="I80" s="119"/>
      <x:c r="J80" s="119"/>
      <x:c r="K80" s="119"/>
      <x:c r="L80" s="119"/>
      <x:c r="M80" s="119"/>
      <x:c r="N80" s="119"/>
      <x:c r="O80" s="119"/>
      <x:c r="P80" s="119"/>
      <x:c r="Q80" s="119"/>
      <x:c r="R80" s="119"/>
      <x:c r="S80" s="119"/>
      <x:c r="T80" s="131" t="str">
        <x:f>IF(COUNT(P80:S80)=0,"",ROUND(AVERAGE(P80:S80),1))</x:f>
      </x:c>
      <x:c r="U80" s="126" t="str">
        <x:f>IF(E80="","",IF(OR(B80="",C80="",F80="",G80=""),"ACTION NEEDED",IF(AND(B80="Include",K80=""),"ADD METHOD","OK")))</x:f>
      </x:c>
      <x:c r="V80" s="119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126" t="str">
        <x:f>IF(E81="","","S"&amp;TEXT(ROW()-3,"000"))</x:f>
      </x:c>
      <x:c r="B81" s="119"/>
      <x:c r="C81" s="119"/>
      <x:c r="D81" s="119"/>
      <x:c r="E81" s="119"/>
      <x:c r="F81" s="119"/>
      <x:c r="G81" s="119"/>
      <x:c r="H81" s="119"/>
      <x:c r="I81" s="119"/>
      <x:c r="J81" s="119"/>
      <x:c r="K81" s="119"/>
      <x:c r="L81" s="119"/>
      <x:c r="M81" s="119"/>
      <x:c r="N81" s="119"/>
      <x:c r="O81" s="119"/>
      <x:c r="P81" s="119"/>
      <x:c r="Q81" s="119"/>
      <x:c r="R81" s="119"/>
      <x:c r="S81" s="119"/>
      <x:c r="T81" s="131" t="str">
        <x:f>IF(COUNT(P81:S81)=0,"",ROUND(AVERAGE(P81:S81),1))</x:f>
      </x:c>
      <x:c r="U81" s="126" t="str">
        <x:f>IF(E81="","",IF(OR(B81="",C81="",F81="",G81=""),"ACTION NEEDED",IF(AND(B81="Include",K81=""),"ADD METHOD","OK")))</x:f>
      </x:c>
      <x:c r="V81" s="119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126" t="str">
        <x:f>IF(E82="","","S"&amp;TEXT(ROW()-3,"000"))</x:f>
      </x:c>
      <x:c r="B82" s="119"/>
      <x:c r="C82" s="119"/>
      <x:c r="D82" s="119"/>
      <x:c r="E82" s="119"/>
      <x:c r="F82" s="119"/>
      <x:c r="G82" s="119"/>
      <x:c r="H82" s="119"/>
      <x:c r="I82" s="119"/>
      <x:c r="J82" s="119"/>
      <x:c r="K82" s="119"/>
      <x:c r="L82" s="119"/>
      <x:c r="M82" s="119"/>
      <x:c r="N82" s="119"/>
      <x:c r="O82" s="119"/>
      <x:c r="P82" s="119"/>
      <x:c r="Q82" s="119"/>
      <x:c r="R82" s="119"/>
      <x:c r="S82" s="119"/>
      <x:c r="T82" s="131" t="str">
        <x:f>IF(COUNT(P82:S82)=0,"",ROUND(AVERAGE(P82:S82),1))</x:f>
      </x:c>
      <x:c r="U82" s="126" t="str">
        <x:f>IF(E82="","",IF(OR(B82="",C82="",F82="",G82=""),"ACTION NEEDED",IF(AND(B82="Include",K82=""),"ADD METHOD","OK")))</x:f>
      </x:c>
      <x:c r="V82" s="119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126" t="str">
        <x:f>IF(E83="","","S"&amp;TEXT(ROW()-3,"000"))</x:f>
      </x:c>
      <x:c r="B83" s="119"/>
      <x:c r="C83" s="119"/>
      <x:c r="D83" s="119"/>
      <x:c r="E83" s="119"/>
      <x:c r="F83" s="119"/>
      <x:c r="G83" s="119"/>
      <x:c r="H83" s="119"/>
      <x:c r="I83" s="119"/>
      <x:c r="J83" s="119"/>
      <x:c r="K83" s="119"/>
      <x:c r="L83" s="119"/>
      <x:c r="M83" s="119"/>
      <x:c r="N83" s="119"/>
      <x:c r="O83" s="119"/>
      <x:c r="P83" s="119"/>
      <x:c r="Q83" s="119"/>
      <x:c r="R83" s="119"/>
      <x:c r="S83" s="119"/>
      <x:c r="T83" s="131" t="str">
        <x:f>IF(COUNT(P83:S83)=0,"",ROUND(AVERAGE(P83:S83),1))</x:f>
      </x:c>
      <x:c r="U83" s="126" t="str">
        <x:f>IF(E83="","",IF(OR(B83="",C83="",F83="",G83=""),"ACTION NEEDED",IF(AND(B83="Include",K83=""),"ADD METHOD","OK")))</x:f>
      </x:c>
      <x:c r="V83" s="119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V1"/>
  </x:mergeCells>
  <x:conditionalFormatting sqref="U4:U83">
    <x:cfRule type="expression" dxfId="1" priority="1">
      <x:formula>$U4="ACTION NEEDED"</x:formula>
    </x:cfRule>
    <x:cfRule type="expression" dxfId="2" priority="2">
      <x:formula>$U4="ADD METHOD"</x:formula>
    </x:cfRule>
  </x:conditionalFormatting>
  <x:conditionalFormatting sqref="T4:T83">
    <x:cfRule type="colorScale" priority="3">
      <x:colorScale>
        <x:cfvo type="min"/>
        <x:cfvo type="percentile" val="50"/>
        <x:cfvo type="max"/>
        <x:color rgb="FFF4CCCC"/>
        <x:color rgb="FFFCE8B2"/>
        <x:color rgb="FFDDEEDB"/>
      </x:colorScale>
    </x:cfRule>
  </x:conditionalFormatting>
  <x:dataValidations count="7">
    <x:dataValidation type="list" sqref="B4:B83">
      <x:formula1>_LISTS!$A$2:$A$6</x:formula1>
    </x:dataValidation>
    <x:dataValidation type="list" sqref="F4:F83">
      <x:formula1>_LISTS!$B$2:$B$11</x:formula1>
    </x:dataValidation>
    <x:dataValidation type="list" sqref="K4:K83">
      <x:formula1>_LISTS!$C$2:$C$13</x:formula1>
    </x:dataValidation>
    <x:dataValidation type="list" sqref="P4:P83">
      <x:formula1>_LISTS!$K$2:$K$6</x:formula1>
    </x:dataValidation>
    <x:dataValidation type="list" sqref="Q4:Q83">
      <x:formula1>_LISTS!$K$2:$K$6</x:formula1>
    </x:dataValidation>
    <x:dataValidation type="list" sqref="R4:R83">
      <x:formula1>_LISTS!$K$2:$K$6</x:formula1>
    </x:dataValidation>
    <x:dataValidation type="list" sqref="S4:S83">
      <x:formula1>_LISTS!$K$2:$K$6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406634b48a4b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0" hidden="0" customWidth="1"/>
    <x:col min="5" max="5" width="22" hidden="0" customWidth="1"/>
    <x:col min="6" max="6" width="10" hidden="0" customWidth="1"/>
    <x:col min="7" max="7" width="48" hidden="0" customWidth="1"/>
    <x:col min="8" max="8" width="15" hidden="0" customWidth="1"/>
    <x:col min="9" max="9" width="20" hidden="0" customWidth="1"/>
    <x:col min="10" max="10" width="15" hidden="0" customWidth="1"/>
    <x:col min="11" max="11" width="28" hidden="0" customWidth="1"/>
    <x:col min="12" max="12" width="30" hidden="0" customWidth="1"/>
    <x:col min="13" max="13" width="32" hidden="0" customWidth="1"/>
    <x:col min="14" max="14" width="14" hidden="0" customWidth="1"/>
    <x:col min="15" max="15" width="36" hidden="0" customWidth="1"/>
    <x:col min="16" max="16" width="16" hidden="0" customWidth="1"/>
    <x:col min="17" max="17" width="16" hidden="0" customWidth="1"/>
  </x:cols>
  <x:sheetData>
    <x:row r="1">
      <x:c r="A1" s="149" t="str">
        <x:v>FINDINGS — capture evidence at the level you will actually synthesize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Finding ID</x:v>
      </x:c>
      <x:c r="B3" s="125" t="str">
        <x:v>Source ID</x:v>
      </x:c>
      <x:c r="C3" s="125" t="str">
        <x:v>Source Label</x:v>
      </x:c>
      <x:c r="D3" s="125" t="str">
        <x:v>Theme ID</x:v>
      </x:c>
      <x:c r="E3" s="125" t="str">
        <x:v>Theme Name</x:v>
      </x:c>
      <x:c r="F3" s="125" t="str">
        <x:v>Claim ID</x:v>
      </x:c>
      <x:c r="G3" s="125" t="str">
        <x:v>Evidence / Finding / Passage</x:v>
      </x:c>
      <x:c r="H3" s="125" t="str">
        <x:v>Page / Location</x:v>
      </x:c>
      <x:c r="I3" s="125" t="str">
        <x:v>Evidence Type</x:v>
      </x:c>
      <x:c r="J3" s="125" t="str">
        <x:v>Direction</x:v>
      </x:c>
      <x:c r="K3" s="125" t="str">
        <x:v>Source Method</x:v>
      </x:c>
      <x:c r="L3" s="125" t="str">
        <x:v>Method / Context Note</x:v>
      </x:c>
      <x:c r="M3" s="125" t="str">
        <x:v>Limitation / Qualification</x:v>
      </x:c>
      <x:c r="N3" s="125" t="str">
        <x:v>Anomaly / Outlier?</x:v>
      </x:c>
      <x:c r="O3" s="125" t="str">
        <x:v>Interpretive Note</x:v>
      </x:c>
      <x:c r="P3" s="125" t="str">
        <x:v>Location QA</x:v>
      </x:c>
      <x:c r="Q3" s="125" t="str">
        <x:v>Evidence QA</x:v>
      </x:c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26" t="str">
        <x:f>IF(G4="","","F"&amp;TEXT(ROW()-3,"000"))</x:f>
      </x:c>
      <x:c r="B4" s="119"/>
      <x:c r="C4" s="126" t="str">
        <x:f>IF(B4="","",IFERROR(INDEX(SOURCES!$C$4:$C$83,MATCH(B4,SOURCES!$A$4:$A$83,0))&amp;IF(INDEX(SOURCES!$D$4:$D$83,MATCH(B4,SOURCES!$A$4:$A$83,0))="",""," ("&amp;INDEX(SOURCES!$D$4:$D$83,MATCH(B4,SOURCES!$A$4:$A$83,0))&amp;")"),"Unknown source"))</x:f>
      </x:c>
      <x:c r="D4" s="119"/>
      <x:c r="E4" s="126" t="str">
        <x:f>IF(D4="","",IFERROR(INDEX(THEMES!$B$4:$B$15,MATCH(D4,THEMES!$A$4:$A$15,0)),"Unknown theme"))</x:f>
      </x:c>
      <x:c r="F4" s="119"/>
      <x:c r="G4" s="119"/>
      <x:c r="H4" s="119"/>
      <x:c r="I4" s="119"/>
      <x:c r="J4" s="119"/>
      <x:c r="K4" s="126" t="str">
        <x:f>IF(B4="","",IFERROR(INDEX(SOURCES!$K$4:$K$83,MATCH(B4,SOURCES!$A$4:$A$83,0)),""))</x:f>
      </x:c>
      <x:c r="L4" s="119"/>
      <x:c r="M4" s="119"/>
      <x:c r="N4" s="119"/>
      <x:c r="O4" s="119"/>
      <x:c r="P4" s="126" t="str">
        <x:f>IF(G4="","",IF(I4="Direct Quote",IF(H4="","ACTION NEEDED","OK"),"N/A"))</x:f>
      </x:c>
      <x:c r="Q4" s="126" t="str">
        <x:f>IF(G4="","",IF(OR(B4="",D4="",I4="",J4=""),"ACTION NEEDED",IF(P4="ACTION NEEDED","ACTION NEEDED","OK")))</x:f>
      </x:c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26" t="str">
        <x:f>IF(G5="","","F"&amp;TEXT(ROW()-3,"000"))</x:f>
      </x:c>
      <x:c r="B5" s="119"/>
      <x:c r="C5" s="126" t="str">
        <x:f>IF(B5="","",IFERROR(INDEX(SOURCES!$C$4:$C$83,MATCH(B5,SOURCES!$A$4:$A$83,0))&amp;IF(INDEX(SOURCES!$D$4:$D$83,MATCH(B5,SOURCES!$A$4:$A$83,0))="",""," ("&amp;INDEX(SOURCES!$D$4:$D$83,MATCH(B5,SOURCES!$A$4:$A$83,0))&amp;")"),"Unknown source"))</x:f>
      </x:c>
      <x:c r="D5" s="119"/>
      <x:c r="E5" s="126" t="str">
        <x:f>IF(D5="","",IFERROR(INDEX(THEMES!$B$4:$B$15,MATCH(D5,THEMES!$A$4:$A$15,0)),"Unknown theme"))</x:f>
      </x:c>
      <x:c r="F5" s="119"/>
      <x:c r="G5" s="119"/>
      <x:c r="H5" s="119"/>
      <x:c r="I5" s="119"/>
      <x:c r="J5" s="119"/>
      <x:c r="K5" s="126" t="str">
        <x:f>IF(B5="","",IFERROR(INDEX(SOURCES!$K$4:$K$83,MATCH(B5,SOURCES!$A$4:$A$83,0)),""))</x:f>
      </x:c>
      <x:c r="L5" s="119"/>
      <x:c r="M5" s="119"/>
      <x:c r="N5" s="119"/>
      <x:c r="O5" s="119"/>
      <x:c r="P5" s="126" t="str">
        <x:f>IF(G5="","",IF(I5="Direct Quote",IF(H5="","ACTION NEEDED","OK"),"N/A"))</x:f>
      </x:c>
      <x:c r="Q5" s="126" t="str">
        <x:f>IF(G5="","",IF(OR(B5="",D5="",I5="",J5=""),"ACTION NEEDED",IF(P5="ACTION NEEDED","ACTION NEEDED","OK")))</x:f>
      </x:c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26" t="str">
        <x:f>IF(G6="","","F"&amp;TEXT(ROW()-3,"000"))</x:f>
      </x:c>
      <x:c r="B6" s="119"/>
      <x:c r="C6" s="126" t="str">
        <x:f>IF(B6="","",IFERROR(INDEX(SOURCES!$C$4:$C$83,MATCH(B6,SOURCES!$A$4:$A$83,0))&amp;IF(INDEX(SOURCES!$D$4:$D$83,MATCH(B6,SOURCES!$A$4:$A$83,0))="",""," ("&amp;INDEX(SOURCES!$D$4:$D$83,MATCH(B6,SOURCES!$A$4:$A$83,0))&amp;")"),"Unknown source"))</x:f>
      </x:c>
      <x:c r="D6" s="119"/>
      <x:c r="E6" s="126" t="str">
        <x:f>IF(D6="","",IFERROR(INDEX(THEMES!$B$4:$B$15,MATCH(D6,THEMES!$A$4:$A$15,0)),"Unknown theme"))</x:f>
      </x:c>
      <x:c r="F6" s="119"/>
      <x:c r="G6" s="119"/>
      <x:c r="H6" s="119"/>
      <x:c r="I6" s="119"/>
      <x:c r="J6" s="119"/>
      <x:c r="K6" s="126" t="str">
        <x:f>IF(B6="","",IFERROR(INDEX(SOURCES!$K$4:$K$83,MATCH(B6,SOURCES!$A$4:$A$83,0)),""))</x:f>
      </x:c>
      <x:c r="L6" s="119"/>
      <x:c r="M6" s="119"/>
      <x:c r="N6" s="119"/>
      <x:c r="O6" s="119"/>
      <x:c r="P6" s="126" t="str">
        <x:f>IF(G6="","",IF(I6="Direct Quote",IF(H6="","ACTION NEEDED","OK"),"N/A"))</x:f>
      </x:c>
      <x:c r="Q6" s="126" t="str">
        <x:f>IF(G6="","",IF(OR(B6="",D6="",I6="",J6=""),"ACTION NEEDED",IF(P6="ACTION NEEDED","ACTION NEEDED","OK")))</x:f>
      </x:c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26" t="str">
        <x:f>IF(G7="","","F"&amp;TEXT(ROW()-3,"000"))</x:f>
      </x:c>
      <x:c r="B7" s="119"/>
      <x:c r="C7" s="126" t="str">
        <x:f>IF(B7="","",IFERROR(INDEX(SOURCES!$C$4:$C$83,MATCH(B7,SOURCES!$A$4:$A$83,0))&amp;IF(INDEX(SOURCES!$D$4:$D$83,MATCH(B7,SOURCES!$A$4:$A$83,0))="",""," ("&amp;INDEX(SOURCES!$D$4:$D$83,MATCH(B7,SOURCES!$A$4:$A$83,0))&amp;")"),"Unknown source"))</x:f>
      </x:c>
      <x:c r="D7" s="119"/>
      <x:c r="E7" s="126" t="str">
        <x:f>IF(D7="","",IFERROR(INDEX(THEMES!$B$4:$B$15,MATCH(D7,THEMES!$A$4:$A$15,0)),"Unknown theme"))</x:f>
      </x:c>
      <x:c r="F7" s="119"/>
      <x:c r="G7" s="119"/>
      <x:c r="H7" s="119"/>
      <x:c r="I7" s="119"/>
      <x:c r="J7" s="119"/>
      <x:c r="K7" s="126" t="str">
        <x:f>IF(B7="","",IFERROR(INDEX(SOURCES!$K$4:$K$83,MATCH(B7,SOURCES!$A$4:$A$83,0)),""))</x:f>
      </x:c>
      <x:c r="L7" s="119"/>
      <x:c r="M7" s="119"/>
      <x:c r="N7" s="119"/>
      <x:c r="O7" s="119"/>
      <x:c r="P7" s="126" t="str">
        <x:f>IF(G7="","",IF(I7="Direct Quote",IF(H7="","ACTION NEEDED","OK"),"N/A"))</x:f>
      </x:c>
      <x:c r="Q7" s="126" t="str">
        <x:f>IF(G7="","",IF(OR(B7="",D7="",I7="",J7=""),"ACTION NEEDED",IF(P7="ACTION NEEDED","ACTION NEEDED","OK")))</x:f>
      </x:c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26" t="str">
        <x:f>IF(G8="","","F"&amp;TEXT(ROW()-3,"000"))</x:f>
      </x:c>
      <x:c r="B8" s="119"/>
      <x:c r="C8" s="126" t="str">
        <x:f>IF(B8="","",IFERROR(INDEX(SOURCES!$C$4:$C$83,MATCH(B8,SOURCES!$A$4:$A$83,0))&amp;IF(INDEX(SOURCES!$D$4:$D$83,MATCH(B8,SOURCES!$A$4:$A$83,0))="",""," ("&amp;INDEX(SOURCES!$D$4:$D$83,MATCH(B8,SOURCES!$A$4:$A$83,0))&amp;")"),"Unknown source"))</x:f>
      </x:c>
      <x:c r="D8" s="119"/>
      <x:c r="E8" s="126" t="str">
        <x:f>IF(D8="","",IFERROR(INDEX(THEMES!$B$4:$B$15,MATCH(D8,THEMES!$A$4:$A$15,0)),"Unknown theme"))</x:f>
      </x:c>
      <x:c r="F8" s="119"/>
      <x:c r="G8" s="119"/>
      <x:c r="H8" s="119"/>
      <x:c r="I8" s="119"/>
      <x:c r="J8" s="119"/>
      <x:c r="K8" s="126" t="str">
        <x:f>IF(B8="","",IFERROR(INDEX(SOURCES!$K$4:$K$83,MATCH(B8,SOURCES!$A$4:$A$83,0)),""))</x:f>
      </x:c>
      <x:c r="L8" s="119"/>
      <x:c r="M8" s="119"/>
      <x:c r="N8" s="119"/>
      <x:c r="O8" s="119"/>
      <x:c r="P8" s="126" t="str">
        <x:f>IF(G8="","",IF(I8="Direct Quote",IF(H8="","ACTION NEEDED","OK"),"N/A"))</x:f>
      </x:c>
      <x:c r="Q8" s="126" t="str">
        <x:f>IF(G8="","",IF(OR(B8="",D8="",I8="",J8=""),"ACTION NEEDED",IF(P8="ACTION NEEDED","ACTION NEEDED","OK")))</x:f>
      </x:c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26" t="str">
        <x:f>IF(G9="","","F"&amp;TEXT(ROW()-3,"000"))</x:f>
      </x:c>
      <x:c r="B9" s="119"/>
      <x:c r="C9" s="126" t="str">
        <x:f>IF(B9="","",IFERROR(INDEX(SOURCES!$C$4:$C$83,MATCH(B9,SOURCES!$A$4:$A$83,0))&amp;IF(INDEX(SOURCES!$D$4:$D$83,MATCH(B9,SOURCES!$A$4:$A$83,0))="",""," ("&amp;INDEX(SOURCES!$D$4:$D$83,MATCH(B9,SOURCES!$A$4:$A$83,0))&amp;")"),"Unknown source"))</x:f>
      </x:c>
      <x:c r="D9" s="119"/>
      <x:c r="E9" s="126" t="str">
        <x:f>IF(D9="","",IFERROR(INDEX(THEMES!$B$4:$B$15,MATCH(D9,THEMES!$A$4:$A$15,0)),"Unknown theme"))</x:f>
      </x:c>
      <x:c r="F9" s="119"/>
      <x:c r="G9" s="119"/>
      <x:c r="H9" s="119"/>
      <x:c r="I9" s="119"/>
      <x:c r="J9" s="119"/>
      <x:c r="K9" s="126" t="str">
        <x:f>IF(B9="","",IFERROR(INDEX(SOURCES!$K$4:$K$83,MATCH(B9,SOURCES!$A$4:$A$83,0)),""))</x:f>
      </x:c>
      <x:c r="L9" s="119"/>
      <x:c r="M9" s="119"/>
      <x:c r="N9" s="119"/>
      <x:c r="O9" s="119"/>
      <x:c r="P9" s="126" t="str">
        <x:f>IF(G9="","",IF(I9="Direct Quote",IF(H9="","ACTION NEEDED","OK"),"N/A"))</x:f>
      </x:c>
      <x:c r="Q9" s="126" t="str">
        <x:f>IF(G9="","",IF(OR(B9="",D9="",I9="",J9=""),"ACTION NEEDED",IF(P9="ACTION NEEDED","ACTION NEEDED","OK")))</x:f>
      </x:c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26" t="str">
        <x:f>IF(G10="","","F"&amp;TEXT(ROW()-3,"000"))</x:f>
      </x:c>
      <x:c r="B10" s="119"/>
      <x:c r="C10" s="126" t="str">
        <x:f>IF(B10="","",IFERROR(INDEX(SOURCES!$C$4:$C$83,MATCH(B10,SOURCES!$A$4:$A$83,0))&amp;IF(INDEX(SOURCES!$D$4:$D$83,MATCH(B10,SOURCES!$A$4:$A$83,0))="",""," ("&amp;INDEX(SOURCES!$D$4:$D$83,MATCH(B10,SOURCES!$A$4:$A$83,0))&amp;")"),"Unknown source"))</x:f>
      </x:c>
      <x:c r="D10" s="119"/>
      <x:c r="E10" s="126" t="str">
        <x:f>IF(D10="","",IFERROR(INDEX(THEMES!$B$4:$B$15,MATCH(D10,THEMES!$A$4:$A$15,0)),"Unknown theme"))</x:f>
      </x:c>
      <x:c r="F10" s="119"/>
      <x:c r="G10" s="119"/>
      <x:c r="H10" s="119"/>
      <x:c r="I10" s="119"/>
      <x:c r="J10" s="119"/>
      <x:c r="K10" s="126" t="str">
        <x:f>IF(B10="","",IFERROR(INDEX(SOURCES!$K$4:$K$83,MATCH(B10,SOURCES!$A$4:$A$83,0)),""))</x:f>
      </x:c>
      <x:c r="L10" s="119"/>
      <x:c r="M10" s="119"/>
      <x:c r="N10" s="119"/>
      <x:c r="O10" s="119"/>
      <x:c r="P10" s="126" t="str">
        <x:f>IF(G10="","",IF(I10="Direct Quote",IF(H10="","ACTION NEEDED","OK"),"N/A"))</x:f>
      </x:c>
      <x:c r="Q10" s="126" t="str">
        <x:f>IF(G10="","",IF(OR(B10="",D10="",I10="",J10=""),"ACTION NEEDED",IF(P10="ACTION NEEDED","ACTION NEEDED","OK")))</x:f>
      </x:c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26" t="str">
        <x:f>IF(G11="","","F"&amp;TEXT(ROW()-3,"000"))</x:f>
      </x:c>
      <x:c r="B11" s="119"/>
      <x:c r="C11" s="126" t="str">
        <x:f>IF(B11="","",IFERROR(INDEX(SOURCES!$C$4:$C$83,MATCH(B11,SOURCES!$A$4:$A$83,0))&amp;IF(INDEX(SOURCES!$D$4:$D$83,MATCH(B11,SOURCES!$A$4:$A$83,0))="",""," ("&amp;INDEX(SOURCES!$D$4:$D$83,MATCH(B11,SOURCES!$A$4:$A$83,0))&amp;")"),"Unknown source"))</x:f>
      </x:c>
      <x:c r="D11" s="119"/>
      <x:c r="E11" s="126" t="str">
        <x:f>IF(D11="","",IFERROR(INDEX(THEMES!$B$4:$B$15,MATCH(D11,THEMES!$A$4:$A$15,0)),"Unknown theme"))</x:f>
      </x:c>
      <x:c r="F11" s="119"/>
      <x:c r="G11" s="119"/>
      <x:c r="H11" s="119"/>
      <x:c r="I11" s="119"/>
      <x:c r="J11" s="119"/>
      <x:c r="K11" s="126" t="str">
        <x:f>IF(B11="","",IFERROR(INDEX(SOURCES!$K$4:$K$83,MATCH(B11,SOURCES!$A$4:$A$83,0)),""))</x:f>
      </x:c>
      <x:c r="L11" s="119"/>
      <x:c r="M11" s="119"/>
      <x:c r="N11" s="119"/>
      <x:c r="O11" s="119"/>
      <x:c r="P11" s="126" t="str">
        <x:f>IF(G11="","",IF(I11="Direct Quote",IF(H11="","ACTION NEEDED","OK"),"N/A"))</x:f>
      </x:c>
      <x:c r="Q11" s="126" t="str">
        <x:f>IF(G11="","",IF(OR(B11="",D11="",I11="",J11=""),"ACTION NEEDED",IF(P11="ACTION NEEDED","ACTION NEEDED","OK")))</x:f>
      </x:c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26" t="str">
        <x:f>IF(G12="","","F"&amp;TEXT(ROW()-3,"000"))</x:f>
      </x:c>
      <x:c r="B12" s="119"/>
      <x:c r="C12" s="126" t="str">
        <x:f>IF(B12="","",IFERROR(INDEX(SOURCES!$C$4:$C$83,MATCH(B12,SOURCES!$A$4:$A$83,0))&amp;IF(INDEX(SOURCES!$D$4:$D$83,MATCH(B12,SOURCES!$A$4:$A$83,0))="",""," ("&amp;INDEX(SOURCES!$D$4:$D$83,MATCH(B12,SOURCES!$A$4:$A$83,0))&amp;")"),"Unknown source"))</x:f>
      </x:c>
      <x:c r="D12" s="119"/>
      <x:c r="E12" s="126" t="str">
        <x:f>IF(D12="","",IFERROR(INDEX(THEMES!$B$4:$B$15,MATCH(D12,THEMES!$A$4:$A$15,0)),"Unknown theme"))</x:f>
      </x:c>
      <x:c r="F12" s="119"/>
      <x:c r="G12" s="119"/>
      <x:c r="H12" s="119"/>
      <x:c r="I12" s="119"/>
      <x:c r="J12" s="119"/>
      <x:c r="K12" s="126" t="str">
        <x:f>IF(B12="","",IFERROR(INDEX(SOURCES!$K$4:$K$83,MATCH(B12,SOURCES!$A$4:$A$83,0)),""))</x:f>
      </x:c>
      <x:c r="L12" s="119"/>
      <x:c r="M12" s="119"/>
      <x:c r="N12" s="119"/>
      <x:c r="O12" s="119"/>
      <x:c r="P12" s="126" t="str">
        <x:f>IF(G12="","",IF(I12="Direct Quote",IF(H12="","ACTION NEEDED","OK"),"N/A"))</x:f>
      </x:c>
      <x:c r="Q12" s="126" t="str">
        <x:f>IF(G12="","",IF(OR(B12="",D12="",I12="",J12=""),"ACTION NEEDED",IF(P12="ACTION NEEDED","ACTION NEEDED","OK")))</x:f>
      </x:c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26" t="str">
        <x:f>IF(G13="","","F"&amp;TEXT(ROW()-3,"000"))</x:f>
      </x:c>
      <x:c r="B13" s="119"/>
      <x:c r="C13" s="126" t="str">
        <x:f>IF(B13="","",IFERROR(INDEX(SOURCES!$C$4:$C$83,MATCH(B13,SOURCES!$A$4:$A$83,0))&amp;IF(INDEX(SOURCES!$D$4:$D$83,MATCH(B13,SOURCES!$A$4:$A$83,0))="",""," ("&amp;INDEX(SOURCES!$D$4:$D$83,MATCH(B13,SOURCES!$A$4:$A$83,0))&amp;")"),"Unknown source"))</x:f>
      </x:c>
      <x:c r="D13" s="119"/>
      <x:c r="E13" s="126" t="str">
        <x:f>IF(D13="","",IFERROR(INDEX(THEMES!$B$4:$B$15,MATCH(D13,THEMES!$A$4:$A$15,0)),"Unknown theme"))</x:f>
      </x:c>
      <x:c r="F13" s="119"/>
      <x:c r="G13" s="119"/>
      <x:c r="H13" s="119"/>
      <x:c r="I13" s="119"/>
      <x:c r="J13" s="119"/>
      <x:c r="K13" s="126" t="str">
        <x:f>IF(B13="","",IFERROR(INDEX(SOURCES!$K$4:$K$83,MATCH(B13,SOURCES!$A$4:$A$83,0)),""))</x:f>
      </x:c>
      <x:c r="L13" s="119"/>
      <x:c r="M13" s="119"/>
      <x:c r="N13" s="119"/>
      <x:c r="O13" s="119"/>
      <x:c r="P13" s="126" t="str">
        <x:f>IF(G13="","",IF(I13="Direct Quote",IF(H13="","ACTION NEEDED","OK"),"N/A"))</x:f>
      </x:c>
      <x:c r="Q13" s="126" t="str">
        <x:f>IF(G13="","",IF(OR(B13="",D13="",I13="",J13=""),"ACTION NEEDED",IF(P13="ACTION NEEDED","ACTION NEEDED","OK")))</x:f>
      </x:c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26" t="str">
        <x:f>IF(G14="","","F"&amp;TEXT(ROW()-3,"000"))</x:f>
      </x:c>
      <x:c r="B14" s="119"/>
      <x:c r="C14" s="126" t="str">
        <x:f>IF(B14="","",IFERROR(INDEX(SOURCES!$C$4:$C$83,MATCH(B14,SOURCES!$A$4:$A$83,0))&amp;IF(INDEX(SOURCES!$D$4:$D$83,MATCH(B14,SOURCES!$A$4:$A$83,0))="",""," ("&amp;INDEX(SOURCES!$D$4:$D$83,MATCH(B14,SOURCES!$A$4:$A$83,0))&amp;")"),"Unknown source"))</x:f>
      </x:c>
      <x:c r="D14" s="119"/>
      <x:c r="E14" s="126" t="str">
        <x:f>IF(D14="","",IFERROR(INDEX(THEMES!$B$4:$B$15,MATCH(D14,THEMES!$A$4:$A$15,0)),"Unknown theme"))</x:f>
      </x:c>
      <x:c r="F14" s="119"/>
      <x:c r="G14" s="119"/>
      <x:c r="H14" s="119"/>
      <x:c r="I14" s="119"/>
      <x:c r="J14" s="119"/>
      <x:c r="K14" s="126" t="str">
        <x:f>IF(B14="","",IFERROR(INDEX(SOURCES!$K$4:$K$83,MATCH(B14,SOURCES!$A$4:$A$83,0)),""))</x:f>
      </x:c>
      <x:c r="L14" s="119"/>
      <x:c r="M14" s="119"/>
      <x:c r="N14" s="119"/>
      <x:c r="O14" s="119"/>
      <x:c r="P14" s="126" t="str">
        <x:f>IF(G14="","",IF(I14="Direct Quote",IF(H14="","ACTION NEEDED","OK"),"N/A"))</x:f>
      </x:c>
      <x:c r="Q14" s="126" t="str">
        <x:f>IF(G14="","",IF(OR(B14="",D14="",I14="",J14=""),"ACTION NEEDED",IF(P14="ACTION NEEDED","ACTION NEEDED","OK")))</x:f>
      </x:c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126" t="str">
        <x:f>IF(G15="","","F"&amp;TEXT(ROW()-3,"000"))</x:f>
      </x:c>
      <x:c r="B15" s="119"/>
      <x:c r="C15" s="126" t="str">
        <x:f>IF(B15="","",IFERROR(INDEX(SOURCES!$C$4:$C$83,MATCH(B15,SOURCES!$A$4:$A$83,0))&amp;IF(INDEX(SOURCES!$D$4:$D$83,MATCH(B15,SOURCES!$A$4:$A$83,0))="",""," ("&amp;INDEX(SOURCES!$D$4:$D$83,MATCH(B15,SOURCES!$A$4:$A$83,0))&amp;")"),"Unknown source"))</x:f>
      </x:c>
      <x:c r="D15" s="119"/>
      <x:c r="E15" s="126" t="str">
        <x:f>IF(D15="","",IFERROR(INDEX(THEMES!$B$4:$B$15,MATCH(D15,THEMES!$A$4:$A$15,0)),"Unknown theme"))</x:f>
      </x:c>
      <x:c r="F15" s="119"/>
      <x:c r="G15" s="119"/>
      <x:c r="H15" s="119"/>
      <x:c r="I15" s="119"/>
      <x:c r="J15" s="119"/>
      <x:c r="K15" s="126" t="str">
        <x:f>IF(B15="","",IFERROR(INDEX(SOURCES!$K$4:$K$83,MATCH(B15,SOURCES!$A$4:$A$83,0)),""))</x:f>
      </x:c>
      <x:c r="L15" s="119"/>
      <x:c r="M15" s="119"/>
      <x:c r="N15" s="119"/>
      <x:c r="O15" s="119"/>
      <x:c r="P15" s="126" t="str">
        <x:f>IF(G15="","",IF(I15="Direct Quote",IF(H15="","ACTION NEEDED","OK"),"N/A"))</x:f>
      </x:c>
      <x:c r="Q15" s="126" t="str">
        <x:f>IF(G15="","",IF(OR(B15="",D15="",I15="",J15=""),"ACTION NEEDED",IF(P15="ACTION NEEDED","ACTION NEEDED","OK")))</x:f>
      </x:c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126" t="str">
        <x:f>IF(G16="","","F"&amp;TEXT(ROW()-3,"000"))</x:f>
      </x:c>
      <x:c r="B16" s="119"/>
      <x:c r="C16" s="126" t="str">
        <x:f>IF(B16="","",IFERROR(INDEX(SOURCES!$C$4:$C$83,MATCH(B16,SOURCES!$A$4:$A$83,0))&amp;IF(INDEX(SOURCES!$D$4:$D$83,MATCH(B16,SOURCES!$A$4:$A$83,0))="",""," ("&amp;INDEX(SOURCES!$D$4:$D$83,MATCH(B16,SOURCES!$A$4:$A$83,0))&amp;")"),"Unknown source"))</x:f>
      </x:c>
      <x:c r="D16" s="119"/>
      <x:c r="E16" s="126" t="str">
        <x:f>IF(D16="","",IFERROR(INDEX(THEMES!$B$4:$B$15,MATCH(D16,THEMES!$A$4:$A$15,0)),"Unknown theme"))</x:f>
      </x:c>
      <x:c r="F16" s="119"/>
      <x:c r="G16" s="119"/>
      <x:c r="H16" s="119"/>
      <x:c r="I16" s="119"/>
      <x:c r="J16" s="119"/>
      <x:c r="K16" s="126" t="str">
        <x:f>IF(B16="","",IFERROR(INDEX(SOURCES!$K$4:$K$83,MATCH(B16,SOURCES!$A$4:$A$83,0)),""))</x:f>
      </x:c>
      <x:c r="L16" s="119"/>
      <x:c r="M16" s="119"/>
      <x:c r="N16" s="119"/>
      <x:c r="O16" s="119"/>
      <x:c r="P16" s="126" t="str">
        <x:f>IF(G16="","",IF(I16="Direct Quote",IF(H16="","ACTION NEEDED","OK"),"N/A"))</x:f>
      </x:c>
      <x:c r="Q16" s="126" t="str">
        <x:f>IF(G16="","",IF(OR(B16="",D16="",I16="",J16=""),"ACTION NEEDED",IF(P16="ACTION NEEDED","ACTION NEEDED","OK")))</x:f>
      </x:c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126" t="str">
        <x:f>IF(G17="","","F"&amp;TEXT(ROW()-3,"000"))</x:f>
      </x:c>
      <x:c r="B17" s="119"/>
      <x:c r="C17" s="126" t="str">
        <x:f>IF(B17="","",IFERROR(INDEX(SOURCES!$C$4:$C$83,MATCH(B17,SOURCES!$A$4:$A$83,0))&amp;IF(INDEX(SOURCES!$D$4:$D$83,MATCH(B17,SOURCES!$A$4:$A$83,0))="",""," ("&amp;INDEX(SOURCES!$D$4:$D$83,MATCH(B17,SOURCES!$A$4:$A$83,0))&amp;")"),"Unknown source"))</x:f>
      </x:c>
      <x:c r="D17" s="119"/>
      <x:c r="E17" s="126" t="str">
        <x:f>IF(D17="","",IFERROR(INDEX(THEMES!$B$4:$B$15,MATCH(D17,THEMES!$A$4:$A$15,0)),"Unknown theme"))</x:f>
      </x:c>
      <x:c r="F17" s="119"/>
      <x:c r="G17" s="119"/>
      <x:c r="H17" s="119"/>
      <x:c r="I17" s="119"/>
      <x:c r="J17" s="119"/>
      <x:c r="K17" s="126" t="str">
        <x:f>IF(B17="","",IFERROR(INDEX(SOURCES!$K$4:$K$83,MATCH(B17,SOURCES!$A$4:$A$83,0)),""))</x:f>
      </x:c>
      <x:c r="L17" s="119"/>
      <x:c r="M17" s="119"/>
      <x:c r="N17" s="119"/>
      <x:c r="O17" s="119"/>
      <x:c r="P17" s="126" t="str">
        <x:f>IF(G17="","",IF(I17="Direct Quote",IF(H17="","ACTION NEEDED","OK"),"N/A"))</x:f>
      </x:c>
      <x:c r="Q17" s="126" t="str">
        <x:f>IF(G17="","",IF(OR(B17="",D17="",I17="",J17=""),"ACTION NEEDED",IF(P17="ACTION NEEDED","ACTION NEEDED","OK")))</x:f>
      </x:c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126" t="str">
        <x:f>IF(G18="","","F"&amp;TEXT(ROW()-3,"000"))</x:f>
      </x:c>
      <x:c r="B18" s="119"/>
      <x:c r="C18" s="126" t="str">
        <x:f>IF(B18="","",IFERROR(INDEX(SOURCES!$C$4:$C$83,MATCH(B18,SOURCES!$A$4:$A$83,0))&amp;IF(INDEX(SOURCES!$D$4:$D$83,MATCH(B18,SOURCES!$A$4:$A$83,0))="",""," ("&amp;INDEX(SOURCES!$D$4:$D$83,MATCH(B18,SOURCES!$A$4:$A$83,0))&amp;")"),"Unknown source"))</x:f>
      </x:c>
      <x:c r="D18" s="119"/>
      <x:c r="E18" s="126" t="str">
        <x:f>IF(D18="","",IFERROR(INDEX(THEMES!$B$4:$B$15,MATCH(D18,THEMES!$A$4:$A$15,0)),"Unknown theme"))</x:f>
      </x:c>
      <x:c r="F18" s="119"/>
      <x:c r="G18" s="119"/>
      <x:c r="H18" s="119"/>
      <x:c r="I18" s="119"/>
      <x:c r="J18" s="119"/>
      <x:c r="K18" s="126" t="str">
        <x:f>IF(B18="","",IFERROR(INDEX(SOURCES!$K$4:$K$83,MATCH(B18,SOURCES!$A$4:$A$83,0)),""))</x:f>
      </x:c>
      <x:c r="L18" s="119"/>
      <x:c r="M18" s="119"/>
      <x:c r="N18" s="119"/>
      <x:c r="O18" s="119"/>
      <x:c r="P18" s="126" t="str">
        <x:f>IF(G18="","",IF(I18="Direct Quote",IF(H18="","ACTION NEEDED","OK"),"N/A"))</x:f>
      </x:c>
      <x:c r="Q18" s="126" t="str">
        <x:f>IF(G18="","",IF(OR(B18="",D18="",I18="",J18=""),"ACTION NEEDED",IF(P18="ACTION NEEDED","ACTION NEEDED","OK")))</x:f>
      </x:c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126" t="str">
        <x:f>IF(G19="","","F"&amp;TEXT(ROW()-3,"000"))</x:f>
      </x:c>
      <x:c r="B19" s="119"/>
      <x:c r="C19" s="126" t="str">
        <x:f>IF(B19="","",IFERROR(INDEX(SOURCES!$C$4:$C$83,MATCH(B19,SOURCES!$A$4:$A$83,0))&amp;IF(INDEX(SOURCES!$D$4:$D$83,MATCH(B19,SOURCES!$A$4:$A$83,0))="",""," ("&amp;INDEX(SOURCES!$D$4:$D$83,MATCH(B19,SOURCES!$A$4:$A$83,0))&amp;")"),"Unknown source"))</x:f>
      </x:c>
      <x:c r="D19" s="119"/>
      <x:c r="E19" s="126" t="str">
        <x:f>IF(D19="","",IFERROR(INDEX(THEMES!$B$4:$B$15,MATCH(D19,THEMES!$A$4:$A$15,0)),"Unknown theme"))</x:f>
      </x:c>
      <x:c r="F19" s="119"/>
      <x:c r="G19" s="119"/>
      <x:c r="H19" s="119"/>
      <x:c r="I19" s="119"/>
      <x:c r="J19" s="119"/>
      <x:c r="K19" s="126" t="str">
        <x:f>IF(B19="","",IFERROR(INDEX(SOURCES!$K$4:$K$83,MATCH(B19,SOURCES!$A$4:$A$83,0)),""))</x:f>
      </x:c>
      <x:c r="L19" s="119"/>
      <x:c r="M19" s="119"/>
      <x:c r="N19" s="119"/>
      <x:c r="O19" s="119"/>
      <x:c r="P19" s="126" t="str">
        <x:f>IF(G19="","",IF(I19="Direct Quote",IF(H19="","ACTION NEEDED","OK"),"N/A"))</x:f>
      </x:c>
      <x:c r="Q19" s="126" t="str">
        <x:f>IF(G19="","",IF(OR(B19="",D19="",I19="",J19=""),"ACTION NEEDED",IF(P19="ACTION NEEDED","ACTION NEEDED","OK")))</x:f>
      </x:c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126" t="str">
        <x:f>IF(G20="","","F"&amp;TEXT(ROW()-3,"000"))</x:f>
      </x:c>
      <x:c r="B20" s="119"/>
      <x:c r="C20" s="126" t="str">
        <x:f>IF(B20="","",IFERROR(INDEX(SOURCES!$C$4:$C$83,MATCH(B20,SOURCES!$A$4:$A$83,0))&amp;IF(INDEX(SOURCES!$D$4:$D$83,MATCH(B20,SOURCES!$A$4:$A$83,0))="",""," ("&amp;INDEX(SOURCES!$D$4:$D$83,MATCH(B20,SOURCES!$A$4:$A$83,0))&amp;")"),"Unknown source"))</x:f>
      </x:c>
      <x:c r="D20" s="119"/>
      <x:c r="E20" s="126" t="str">
        <x:f>IF(D20="","",IFERROR(INDEX(THEMES!$B$4:$B$15,MATCH(D20,THEMES!$A$4:$A$15,0)),"Unknown theme"))</x:f>
      </x:c>
      <x:c r="F20" s="119"/>
      <x:c r="G20" s="119"/>
      <x:c r="H20" s="119"/>
      <x:c r="I20" s="119"/>
      <x:c r="J20" s="119"/>
      <x:c r="K20" s="126" t="str">
        <x:f>IF(B20="","",IFERROR(INDEX(SOURCES!$K$4:$K$83,MATCH(B20,SOURCES!$A$4:$A$83,0)),""))</x:f>
      </x:c>
      <x:c r="L20" s="119"/>
      <x:c r="M20" s="119"/>
      <x:c r="N20" s="119"/>
      <x:c r="O20" s="119"/>
      <x:c r="P20" s="126" t="str">
        <x:f>IF(G20="","",IF(I20="Direct Quote",IF(H20="","ACTION NEEDED","OK"),"N/A"))</x:f>
      </x:c>
      <x:c r="Q20" s="126" t="str">
        <x:f>IF(G20="","",IF(OR(B20="",D20="",I20="",J20=""),"ACTION NEEDED",IF(P20="ACTION NEEDED","ACTION NEEDED","OK")))</x:f>
      </x:c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126" t="str">
        <x:f>IF(G21="","","F"&amp;TEXT(ROW()-3,"000"))</x:f>
      </x:c>
      <x:c r="B21" s="119"/>
      <x:c r="C21" s="126" t="str">
        <x:f>IF(B21="","",IFERROR(INDEX(SOURCES!$C$4:$C$83,MATCH(B21,SOURCES!$A$4:$A$83,0))&amp;IF(INDEX(SOURCES!$D$4:$D$83,MATCH(B21,SOURCES!$A$4:$A$83,0))="",""," ("&amp;INDEX(SOURCES!$D$4:$D$83,MATCH(B21,SOURCES!$A$4:$A$83,0))&amp;")"),"Unknown source"))</x:f>
      </x:c>
      <x:c r="D21" s="119"/>
      <x:c r="E21" s="126" t="str">
        <x:f>IF(D21="","",IFERROR(INDEX(THEMES!$B$4:$B$15,MATCH(D21,THEMES!$A$4:$A$15,0)),"Unknown theme"))</x:f>
      </x:c>
      <x:c r="F21" s="119"/>
      <x:c r="G21" s="119"/>
      <x:c r="H21" s="119"/>
      <x:c r="I21" s="119"/>
      <x:c r="J21" s="119"/>
      <x:c r="K21" s="126" t="str">
        <x:f>IF(B21="","",IFERROR(INDEX(SOURCES!$K$4:$K$83,MATCH(B21,SOURCES!$A$4:$A$83,0)),""))</x:f>
      </x:c>
      <x:c r="L21" s="119"/>
      <x:c r="M21" s="119"/>
      <x:c r="N21" s="119"/>
      <x:c r="O21" s="119"/>
      <x:c r="P21" s="126" t="str">
        <x:f>IF(G21="","",IF(I21="Direct Quote",IF(H21="","ACTION NEEDED","OK"),"N/A"))</x:f>
      </x:c>
      <x:c r="Q21" s="126" t="str">
        <x:f>IF(G21="","",IF(OR(B21="",D21="",I21="",J21=""),"ACTION NEEDED",IF(P21="ACTION NEEDED","ACTION NEEDED","OK")))</x:f>
      </x:c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126" t="str">
        <x:f>IF(G22="","","F"&amp;TEXT(ROW()-3,"000"))</x:f>
      </x:c>
      <x:c r="B22" s="119"/>
      <x:c r="C22" s="126" t="str">
        <x:f>IF(B22="","",IFERROR(INDEX(SOURCES!$C$4:$C$83,MATCH(B22,SOURCES!$A$4:$A$83,0))&amp;IF(INDEX(SOURCES!$D$4:$D$83,MATCH(B22,SOURCES!$A$4:$A$83,0))="",""," ("&amp;INDEX(SOURCES!$D$4:$D$83,MATCH(B22,SOURCES!$A$4:$A$83,0))&amp;")"),"Unknown source"))</x:f>
      </x:c>
      <x:c r="D22" s="119"/>
      <x:c r="E22" s="126" t="str">
        <x:f>IF(D22="","",IFERROR(INDEX(THEMES!$B$4:$B$15,MATCH(D22,THEMES!$A$4:$A$15,0)),"Unknown theme"))</x:f>
      </x:c>
      <x:c r="F22" s="119"/>
      <x:c r="G22" s="119"/>
      <x:c r="H22" s="119"/>
      <x:c r="I22" s="119"/>
      <x:c r="J22" s="119"/>
      <x:c r="K22" s="126" t="str">
        <x:f>IF(B22="","",IFERROR(INDEX(SOURCES!$K$4:$K$83,MATCH(B22,SOURCES!$A$4:$A$83,0)),""))</x:f>
      </x:c>
      <x:c r="L22" s="119"/>
      <x:c r="M22" s="119"/>
      <x:c r="N22" s="119"/>
      <x:c r="O22" s="119"/>
      <x:c r="P22" s="126" t="str">
        <x:f>IF(G22="","",IF(I22="Direct Quote",IF(H22="","ACTION NEEDED","OK"),"N/A"))</x:f>
      </x:c>
      <x:c r="Q22" s="126" t="str">
        <x:f>IF(G22="","",IF(OR(B22="",D22="",I22="",J22=""),"ACTION NEEDED",IF(P22="ACTION NEEDED","ACTION NEEDED","OK")))</x:f>
      </x:c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126" t="str">
        <x:f>IF(G23="","","F"&amp;TEXT(ROW()-3,"000"))</x:f>
      </x:c>
      <x:c r="B23" s="119"/>
      <x:c r="C23" s="126" t="str">
        <x:f>IF(B23="","",IFERROR(INDEX(SOURCES!$C$4:$C$83,MATCH(B23,SOURCES!$A$4:$A$83,0))&amp;IF(INDEX(SOURCES!$D$4:$D$83,MATCH(B23,SOURCES!$A$4:$A$83,0))="",""," ("&amp;INDEX(SOURCES!$D$4:$D$83,MATCH(B23,SOURCES!$A$4:$A$83,0))&amp;")"),"Unknown source"))</x:f>
      </x:c>
      <x:c r="D23" s="119"/>
      <x:c r="E23" s="126" t="str">
        <x:f>IF(D23="","",IFERROR(INDEX(THEMES!$B$4:$B$15,MATCH(D23,THEMES!$A$4:$A$15,0)),"Unknown theme"))</x:f>
      </x:c>
      <x:c r="F23" s="119"/>
      <x:c r="G23" s="119"/>
      <x:c r="H23" s="119"/>
      <x:c r="I23" s="119"/>
      <x:c r="J23" s="119"/>
      <x:c r="K23" s="126" t="str">
        <x:f>IF(B23="","",IFERROR(INDEX(SOURCES!$K$4:$K$83,MATCH(B23,SOURCES!$A$4:$A$83,0)),""))</x:f>
      </x:c>
      <x:c r="L23" s="119"/>
      <x:c r="M23" s="119"/>
      <x:c r="N23" s="119"/>
      <x:c r="O23" s="119"/>
      <x:c r="P23" s="126" t="str">
        <x:f>IF(G23="","",IF(I23="Direct Quote",IF(H23="","ACTION NEEDED","OK"),"N/A"))</x:f>
      </x:c>
      <x:c r="Q23" s="126" t="str">
        <x:f>IF(G23="","",IF(OR(B23="",D23="",I23="",J23=""),"ACTION NEEDED",IF(P23="ACTION NEEDED","ACTION NEEDED","OK")))</x:f>
      </x:c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126" t="str">
        <x:f>IF(G24="","","F"&amp;TEXT(ROW()-3,"000"))</x:f>
      </x:c>
      <x:c r="B24" s="119"/>
      <x:c r="C24" s="126" t="str">
        <x:f>IF(B24="","",IFERROR(INDEX(SOURCES!$C$4:$C$83,MATCH(B24,SOURCES!$A$4:$A$83,0))&amp;IF(INDEX(SOURCES!$D$4:$D$83,MATCH(B24,SOURCES!$A$4:$A$83,0))="",""," ("&amp;INDEX(SOURCES!$D$4:$D$83,MATCH(B24,SOURCES!$A$4:$A$83,0))&amp;")"),"Unknown source"))</x:f>
      </x:c>
      <x:c r="D24" s="119"/>
      <x:c r="E24" s="126" t="str">
        <x:f>IF(D24="","",IFERROR(INDEX(THEMES!$B$4:$B$15,MATCH(D24,THEMES!$A$4:$A$15,0)),"Unknown theme"))</x:f>
      </x:c>
      <x:c r="F24" s="119"/>
      <x:c r="G24" s="119"/>
      <x:c r="H24" s="119"/>
      <x:c r="I24" s="119"/>
      <x:c r="J24" s="119"/>
      <x:c r="K24" s="126" t="str">
        <x:f>IF(B24="","",IFERROR(INDEX(SOURCES!$K$4:$K$83,MATCH(B24,SOURCES!$A$4:$A$83,0)),""))</x:f>
      </x:c>
      <x:c r="L24" s="119"/>
      <x:c r="M24" s="119"/>
      <x:c r="N24" s="119"/>
      <x:c r="O24" s="119"/>
      <x:c r="P24" s="126" t="str">
        <x:f>IF(G24="","",IF(I24="Direct Quote",IF(H24="","ACTION NEEDED","OK"),"N/A"))</x:f>
      </x:c>
      <x:c r="Q24" s="126" t="str">
        <x:f>IF(G24="","",IF(OR(B24="",D24="",I24="",J24=""),"ACTION NEEDED",IF(P24="ACTION NEEDED","ACTION NEEDED","OK")))</x:f>
      </x:c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126" t="str">
        <x:f>IF(G25="","","F"&amp;TEXT(ROW()-3,"000"))</x:f>
      </x:c>
      <x:c r="B25" s="119"/>
      <x:c r="C25" s="126" t="str">
        <x:f>IF(B25="","",IFERROR(INDEX(SOURCES!$C$4:$C$83,MATCH(B25,SOURCES!$A$4:$A$83,0))&amp;IF(INDEX(SOURCES!$D$4:$D$83,MATCH(B25,SOURCES!$A$4:$A$83,0))="",""," ("&amp;INDEX(SOURCES!$D$4:$D$83,MATCH(B25,SOURCES!$A$4:$A$83,0))&amp;")"),"Unknown source"))</x:f>
      </x:c>
      <x:c r="D25" s="119"/>
      <x:c r="E25" s="126" t="str">
        <x:f>IF(D25="","",IFERROR(INDEX(THEMES!$B$4:$B$15,MATCH(D25,THEMES!$A$4:$A$15,0)),"Unknown theme"))</x:f>
      </x:c>
      <x:c r="F25" s="119"/>
      <x:c r="G25" s="119"/>
      <x:c r="H25" s="119"/>
      <x:c r="I25" s="119"/>
      <x:c r="J25" s="119"/>
      <x:c r="K25" s="126" t="str">
        <x:f>IF(B25="","",IFERROR(INDEX(SOURCES!$K$4:$K$83,MATCH(B25,SOURCES!$A$4:$A$83,0)),""))</x:f>
      </x:c>
      <x:c r="L25" s="119"/>
      <x:c r="M25" s="119"/>
      <x:c r="N25" s="119"/>
      <x:c r="O25" s="119"/>
      <x:c r="P25" s="126" t="str">
        <x:f>IF(G25="","",IF(I25="Direct Quote",IF(H25="","ACTION NEEDED","OK"),"N/A"))</x:f>
      </x:c>
      <x:c r="Q25" s="126" t="str">
        <x:f>IF(G25="","",IF(OR(B25="",D25="",I25="",J25=""),"ACTION NEEDED",IF(P25="ACTION NEEDED","ACTION NEEDED","OK")))</x:f>
      </x:c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126" t="str">
        <x:f>IF(G26="","","F"&amp;TEXT(ROW()-3,"000"))</x:f>
      </x:c>
      <x:c r="B26" s="119"/>
      <x:c r="C26" s="126" t="str">
        <x:f>IF(B26="","",IFERROR(INDEX(SOURCES!$C$4:$C$83,MATCH(B26,SOURCES!$A$4:$A$83,0))&amp;IF(INDEX(SOURCES!$D$4:$D$83,MATCH(B26,SOURCES!$A$4:$A$83,0))="",""," ("&amp;INDEX(SOURCES!$D$4:$D$83,MATCH(B26,SOURCES!$A$4:$A$83,0))&amp;")"),"Unknown source"))</x:f>
      </x:c>
      <x:c r="D26" s="119"/>
      <x:c r="E26" s="126" t="str">
        <x:f>IF(D26="","",IFERROR(INDEX(THEMES!$B$4:$B$15,MATCH(D26,THEMES!$A$4:$A$15,0)),"Unknown theme"))</x:f>
      </x:c>
      <x:c r="F26" s="119"/>
      <x:c r="G26" s="119"/>
      <x:c r="H26" s="119"/>
      <x:c r="I26" s="119"/>
      <x:c r="J26" s="119"/>
      <x:c r="K26" s="126" t="str">
        <x:f>IF(B26="","",IFERROR(INDEX(SOURCES!$K$4:$K$83,MATCH(B26,SOURCES!$A$4:$A$83,0)),""))</x:f>
      </x:c>
      <x:c r="L26" s="119"/>
      <x:c r="M26" s="119"/>
      <x:c r="N26" s="119"/>
      <x:c r="O26" s="119"/>
      <x:c r="P26" s="126" t="str">
        <x:f>IF(G26="","",IF(I26="Direct Quote",IF(H26="","ACTION NEEDED","OK"),"N/A"))</x:f>
      </x:c>
      <x:c r="Q26" s="126" t="str">
        <x:f>IF(G26="","",IF(OR(B26="",D26="",I26="",J26=""),"ACTION NEEDED",IF(P26="ACTION NEEDED","ACTION NEEDED","OK")))</x:f>
      </x:c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126" t="str">
        <x:f>IF(G27="","","F"&amp;TEXT(ROW()-3,"000"))</x:f>
      </x:c>
      <x:c r="B27" s="119"/>
      <x:c r="C27" s="126" t="str">
        <x:f>IF(B27="","",IFERROR(INDEX(SOURCES!$C$4:$C$83,MATCH(B27,SOURCES!$A$4:$A$83,0))&amp;IF(INDEX(SOURCES!$D$4:$D$83,MATCH(B27,SOURCES!$A$4:$A$83,0))="",""," ("&amp;INDEX(SOURCES!$D$4:$D$83,MATCH(B27,SOURCES!$A$4:$A$83,0))&amp;")"),"Unknown source"))</x:f>
      </x:c>
      <x:c r="D27" s="119"/>
      <x:c r="E27" s="126" t="str">
        <x:f>IF(D27="","",IFERROR(INDEX(THEMES!$B$4:$B$15,MATCH(D27,THEMES!$A$4:$A$15,0)),"Unknown theme"))</x:f>
      </x:c>
      <x:c r="F27" s="119"/>
      <x:c r="G27" s="119"/>
      <x:c r="H27" s="119"/>
      <x:c r="I27" s="119"/>
      <x:c r="J27" s="119"/>
      <x:c r="K27" s="126" t="str">
        <x:f>IF(B27="","",IFERROR(INDEX(SOURCES!$K$4:$K$83,MATCH(B27,SOURCES!$A$4:$A$83,0)),""))</x:f>
      </x:c>
      <x:c r="L27" s="119"/>
      <x:c r="M27" s="119"/>
      <x:c r="N27" s="119"/>
      <x:c r="O27" s="119"/>
      <x:c r="P27" s="126" t="str">
        <x:f>IF(G27="","",IF(I27="Direct Quote",IF(H27="","ACTION NEEDED","OK"),"N/A"))</x:f>
      </x:c>
      <x:c r="Q27" s="126" t="str">
        <x:f>IF(G27="","",IF(OR(B27="",D27="",I27="",J27=""),"ACTION NEEDED",IF(P27="ACTION NEEDED","ACTION NEEDED","OK")))</x:f>
      </x:c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126" t="str">
        <x:f>IF(G28="","","F"&amp;TEXT(ROW()-3,"000"))</x:f>
      </x:c>
      <x:c r="B28" s="119"/>
      <x:c r="C28" s="126" t="str">
        <x:f>IF(B28="","",IFERROR(INDEX(SOURCES!$C$4:$C$83,MATCH(B28,SOURCES!$A$4:$A$83,0))&amp;IF(INDEX(SOURCES!$D$4:$D$83,MATCH(B28,SOURCES!$A$4:$A$83,0))="",""," ("&amp;INDEX(SOURCES!$D$4:$D$83,MATCH(B28,SOURCES!$A$4:$A$83,0))&amp;")"),"Unknown source"))</x:f>
      </x:c>
      <x:c r="D28" s="119"/>
      <x:c r="E28" s="126" t="str">
        <x:f>IF(D28="","",IFERROR(INDEX(THEMES!$B$4:$B$15,MATCH(D28,THEMES!$A$4:$A$15,0)),"Unknown theme"))</x:f>
      </x:c>
      <x:c r="F28" s="119"/>
      <x:c r="G28" s="119"/>
      <x:c r="H28" s="119"/>
      <x:c r="I28" s="119"/>
      <x:c r="J28" s="119"/>
      <x:c r="K28" s="126" t="str">
        <x:f>IF(B28="","",IFERROR(INDEX(SOURCES!$K$4:$K$83,MATCH(B28,SOURCES!$A$4:$A$83,0)),""))</x:f>
      </x:c>
      <x:c r="L28" s="119"/>
      <x:c r="M28" s="119"/>
      <x:c r="N28" s="119"/>
      <x:c r="O28" s="119"/>
      <x:c r="P28" s="126" t="str">
        <x:f>IF(G28="","",IF(I28="Direct Quote",IF(H28="","ACTION NEEDED","OK"),"N/A"))</x:f>
      </x:c>
      <x:c r="Q28" s="126" t="str">
        <x:f>IF(G28="","",IF(OR(B28="",D28="",I28="",J28=""),"ACTION NEEDED",IF(P28="ACTION NEEDED","ACTION NEEDED","OK")))</x:f>
      </x:c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126" t="str">
        <x:f>IF(G29="","","F"&amp;TEXT(ROW()-3,"000"))</x:f>
      </x:c>
      <x:c r="B29" s="119"/>
      <x:c r="C29" s="126" t="str">
        <x:f>IF(B29="","",IFERROR(INDEX(SOURCES!$C$4:$C$83,MATCH(B29,SOURCES!$A$4:$A$83,0))&amp;IF(INDEX(SOURCES!$D$4:$D$83,MATCH(B29,SOURCES!$A$4:$A$83,0))="",""," ("&amp;INDEX(SOURCES!$D$4:$D$83,MATCH(B29,SOURCES!$A$4:$A$83,0))&amp;")"),"Unknown source"))</x:f>
      </x:c>
      <x:c r="D29" s="119"/>
      <x:c r="E29" s="126" t="str">
        <x:f>IF(D29="","",IFERROR(INDEX(THEMES!$B$4:$B$15,MATCH(D29,THEMES!$A$4:$A$15,0)),"Unknown theme"))</x:f>
      </x:c>
      <x:c r="F29" s="119"/>
      <x:c r="G29" s="119"/>
      <x:c r="H29" s="119"/>
      <x:c r="I29" s="119"/>
      <x:c r="J29" s="119"/>
      <x:c r="K29" s="126" t="str">
        <x:f>IF(B29="","",IFERROR(INDEX(SOURCES!$K$4:$K$83,MATCH(B29,SOURCES!$A$4:$A$83,0)),""))</x:f>
      </x:c>
      <x:c r="L29" s="119"/>
      <x:c r="M29" s="119"/>
      <x:c r="N29" s="119"/>
      <x:c r="O29" s="119"/>
      <x:c r="P29" s="126" t="str">
        <x:f>IF(G29="","",IF(I29="Direct Quote",IF(H29="","ACTION NEEDED","OK"),"N/A"))</x:f>
      </x:c>
      <x:c r="Q29" s="126" t="str">
        <x:f>IF(G29="","",IF(OR(B29="",D29="",I29="",J29=""),"ACTION NEEDED",IF(P29="ACTION NEEDED","ACTION NEEDED","OK")))</x:f>
      </x:c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126" t="str">
        <x:f>IF(G30="","","F"&amp;TEXT(ROW()-3,"000"))</x:f>
      </x:c>
      <x:c r="B30" s="119"/>
      <x:c r="C30" s="126" t="str">
        <x:f>IF(B30="","",IFERROR(INDEX(SOURCES!$C$4:$C$83,MATCH(B30,SOURCES!$A$4:$A$83,0))&amp;IF(INDEX(SOURCES!$D$4:$D$83,MATCH(B30,SOURCES!$A$4:$A$83,0))="",""," ("&amp;INDEX(SOURCES!$D$4:$D$83,MATCH(B30,SOURCES!$A$4:$A$83,0))&amp;")"),"Unknown source"))</x:f>
      </x:c>
      <x:c r="D30" s="119"/>
      <x:c r="E30" s="126" t="str">
        <x:f>IF(D30="","",IFERROR(INDEX(THEMES!$B$4:$B$15,MATCH(D30,THEMES!$A$4:$A$15,0)),"Unknown theme"))</x:f>
      </x:c>
      <x:c r="F30" s="119"/>
      <x:c r="G30" s="119"/>
      <x:c r="H30" s="119"/>
      <x:c r="I30" s="119"/>
      <x:c r="J30" s="119"/>
      <x:c r="K30" s="126" t="str">
        <x:f>IF(B30="","",IFERROR(INDEX(SOURCES!$K$4:$K$83,MATCH(B30,SOURCES!$A$4:$A$83,0)),""))</x:f>
      </x:c>
      <x:c r="L30" s="119"/>
      <x:c r="M30" s="119"/>
      <x:c r="N30" s="119"/>
      <x:c r="O30" s="119"/>
      <x:c r="P30" s="126" t="str">
        <x:f>IF(G30="","",IF(I30="Direct Quote",IF(H30="","ACTION NEEDED","OK"),"N/A"))</x:f>
      </x:c>
      <x:c r="Q30" s="126" t="str">
        <x:f>IF(G30="","",IF(OR(B30="",D30="",I30="",J30=""),"ACTION NEEDED",IF(P30="ACTION NEEDED","ACTION NEEDED","OK")))</x:f>
      </x:c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126" t="str">
        <x:f>IF(G31="","","F"&amp;TEXT(ROW()-3,"000"))</x:f>
      </x:c>
      <x:c r="B31" s="119"/>
      <x:c r="C31" s="126" t="str">
        <x:f>IF(B31="","",IFERROR(INDEX(SOURCES!$C$4:$C$83,MATCH(B31,SOURCES!$A$4:$A$83,0))&amp;IF(INDEX(SOURCES!$D$4:$D$83,MATCH(B31,SOURCES!$A$4:$A$83,0))="",""," ("&amp;INDEX(SOURCES!$D$4:$D$83,MATCH(B31,SOURCES!$A$4:$A$83,0))&amp;")"),"Unknown source"))</x:f>
      </x:c>
      <x:c r="D31" s="119"/>
      <x:c r="E31" s="126" t="str">
        <x:f>IF(D31="","",IFERROR(INDEX(THEMES!$B$4:$B$15,MATCH(D31,THEMES!$A$4:$A$15,0)),"Unknown theme"))</x:f>
      </x:c>
      <x:c r="F31" s="119"/>
      <x:c r="G31" s="119"/>
      <x:c r="H31" s="119"/>
      <x:c r="I31" s="119"/>
      <x:c r="J31" s="119"/>
      <x:c r="K31" s="126" t="str">
        <x:f>IF(B31="","",IFERROR(INDEX(SOURCES!$K$4:$K$83,MATCH(B31,SOURCES!$A$4:$A$83,0)),""))</x:f>
      </x:c>
      <x:c r="L31" s="119"/>
      <x:c r="M31" s="119"/>
      <x:c r="N31" s="119"/>
      <x:c r="O31" s="119"/>
      <x:c r="P31" s="126" t="str">
        <x:f>IF(G31="","",IF(I31="Direct Quote",IF(H31="","ACTION NEEDED","OK"),"N/A"))</x:f>
      </x:c>
      <x:c r="Q31" s="126" t="str">
        <x:f>IF(G31="","",IF(OR(B31="",D31="",I31="",J31=""),"ACTION NEEDED",IF(P31="ACTION NEEDED","ACTION NEEDED","OK")))</x:f>
      </x:c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126" t="str">
        <x:f>IF(G32="","","F"&amp;TEXT(ROW()-3,"000"))</x:f>
      </x:c>
      <x:c r="B32" s="119"/>
      <x:c r="C32" s="126" t="str">
        <x:f>IF(B32="","",IFERROR(INDEX(SOURCES!$C$4:$C$83,MATCH(B32,SOURCES!$A$4:$A$83,0))&amp;IF(INDEX(SOURCES!$D$4:$D$83,MATCH(B32,SOURCES!$A$4:$A$83,0))="",""," ("&amp;INDEX(SOURCES!$D$4:$D$83,MATCH(B32,SOURCES!$A$4:$A$83,0))&amp;")"),"Unknown source"))</x:f>
      </x:c>
      <x:c r="D32" s="119"/>
      <x:c r="E32" s="126" t="str">
        <x:f>IF(D32="","",IFERROR(INDEX(THEMES!$B$4:$B$15,MATCH(D32,THEMES!$A$4:$A$15,0)),"Unknown theme"))</x:f>
      </x:c>
      <x:c r="F32" s="119"/>
      <x:c r="G32" s="119"/>
      <x:c r="H32" s="119"/>
      <x:c r="I32" s="119"/>
      <x:c r="J32" s="119"/>
      <x:c r="K32" s="126" t="str">
        <x:f>IF(B32="","",IFERROR(INDEX(SOURCES!$K$4:$K$83,MATCH(B32,SOURCES!$A$4:$A$83,0)),""))</x:f>
      </x:c>
      <x:c r="L32" s="119"/>
      <x:c r="M32" s="119"/>
      <x:c r="N32" s="119"/>
      <x:c r="O32" s="119"/>
      <x:c r="P32" s="126" t="str">
        <x:f>IF(G32="","",IF(I32="Direct Quote",IF(H32="","ACTION NEEDED","OK"),"N/A"))</x:f>
      </x:c>
      <x:c r="Q32" s="126" t="str">
        <x:f>IF(G32="","",IF(OR(B32="",D32="",I32="",J32=""),"ACTION NEEDED",IF(P32="ACTION NEEDED","ACTION NEEDED","OK")))</x:f>
      </x:c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126" t="str">
        <x:f>IF(G33="","","F"&amp;TEXT(ROW()-3,"000"))</x:f>
      </x:c>
      <x:c r="B33" s="119"/>
      <x:c r="C33" s="126" t="str">
        <x:f>IF(B33="","",IFERROR(INDEX(SOURCES!$C$4:$C$83,MATCH(B33,SOURCES!$A$4:$A$83,0))&amp;IF(INDEX(SOURCES!$D$4:$D$83,MATCH(B33,SOURCES!$A$4:$A$83,0))="",""," ("&amp;INDEX(SOURCES!$D$4:$D$83,MATCH(B33,SOURCES!$A$4:$A$83,0))&amp;")"),"Unknown source"))</x:f>
      </x:c>
      <x:c r="D33" s="119"/>
      <x:c r="E33" s="126" t="str">
        <x:f>IF(D33="","",IFERROR(INDEX(THEMES!$B$4:$B$15,MATCH(D33,THEMES!$A$4:$A$15,0)),"Unknown theme"))</x:f>
      </x:c>
      <x:c r="F33" s="119"/>
      <x:c r="G33" s="119"/>
      <x:c r="H33" s="119"/>
      <x:c r="I33" s="119"/>
      <x:c r="J33" s="119"/>
      <x:c r="K33" s="126" t="str">
        <x:f>IF(B33="","",IFERROR(INDEX(SOURCES!$K$4:$K$83,MATCH(B33,SOURCES!$A$4:$A$83,0)),""))</x:f>
      </x:c>
      <x:c r="L33" s="119"/>
      <x:c r="M33" s="119"/>
      <x:c r="N33" s="119"/>
      <x:c r="O33" s="119"/>
      <x:c r="P33" s="126" t="str">
        <x:f>IF(G33="","",IF(I33="Direct Quote",IF(H33="","ACTION NEEDED","OK"),"N/A"))</x:f>
      </x:c>
      <x:c r="Q33" s="126" t="str">
        <x:f>IF(G33="","",IF(OR(B33="",D33="",I33="",J33=""),"ACTION NEEDED",IF(P33="ACTION NEEDED","ACTION NEEDED","OK")))</x:f>
      </x:c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126" t="str">
        <x:f>IF(G34="","","F"&amp;TEXT(ROW()-3,"000"))</x:f>
      </x:c>
      <x:c r="B34" s="119"/>
      <x:c r="C34" s="126" t="str">
        <x:f>IF(B34="","",IFERROR(INDEX(SOURCES!$C$4:$C$83,MATCH(B34,SOURCES!$A$4:$A$83,0))&amp;IF(INDEX(SOURCES!$D$4:$D$83,MATCH(B34,SOURCES!$A$4:$A$83,0))="",""," ("&amp;INDEX(SOURCES!$D$4:$D$83,MATCH(B34,SOURCES!$A$4:$A$83,0))&amp;")"),"Unknown source"))</x:f>
      </x:c>
      <x:c r="D34" s="119"/>
      <x:c r="E34" s="126" t="str">
        <x:f>IF(D34="","",IFERROR(INDEX(THEMES!$B$4:$B$15,MATCH(D34,THEMES!$A$4:$A$15,0)),"Unknown theme"))</x:f>
      </x:c>
      <x:c r="F34" s="119"/>
      <x:c r="G34" s="119"/>
      <x:c r="H34" s="119"/>
      <x:c r="I34" s="119"/>
      <x:c r="J34" s="119"/>
      <x:c r="K34" s="126" t="str">
        <x:f>IF(B34="","",IFERROR(INDEX(SOURCES!$K$4:$K$83,MATCH(B34,SOURCES!$A$4:$A$83,0)),""))</x:f>
      </x:c>
      <x:c r="L34" s="119"/>
      <x:c r="M34" s="119"/>
      <x:c r="N34" s="119"/>
      <x:c r="O34" s="119"/>
      <x:c r="P34" s="126" t="str">
        <x:f>IF(G34="","",IF(I34="Direct Quote",IF(H34="","ACTION NEEDED","OK"),"N/A"))</x:f>
      </x:c>
      <x:c r="Q34" s="126" t="str">
        <x:f>IF(G34="","",IF(OR(B34="",D34="",I34="",J34=""),"ACTION NEEDED",IF(P34="ACTION NEEDED","ACTION NEEDED","OK")))</x:f>
      </x:c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126" t="str">
        <x:f>IF(G35="","","F"&amp;TEXT(ROW()-3,"000"))</x:f>
      </x:c>
      <x:c r="B35" s="119"/>
      <x:c r="C35" s="126" t="str">
        <x:f>IF(B35="","",IFERROR(INDEX(SOURCES!$C$4:$C$83,MATCH(B35,SOURCES!$A$4:$A$83,0))&amp;IF(INDEX(SOURCES!$D$4:$D$83,MATCH(B35,SOURCES!$A$4:$A$83,0))="",""," ("&amp;INDEX(SOURCES!$D$4:$D$83,MATCH(B35,SOURCES!$A$4:$A$83,0))&amp;")"),"Unknown source"))</x:f>
      </x:c>
      <x:c r="D35" s="119"/>
      <x:c r="E35" s="126" t="str">
        <x:f>IF(D35="","",IFERROR(INDEX(THEMES!$B$4:$B$15,MATCH(D35,THEMES!$A$4:$A$15,0)),"Unknown theme"))</x:f>
      </x:c>
      <x:c r="F35" s="119"/>
      <x:c r="G35" s="119"/>
      <x:c r="H35" s="119"/>
      <x:c r="I35" s="119"/>
      <x:c r="J35" s="119"/>
      <x:c r="K35" s="126" t="str">
        <x:f>IF(B35="","",IFERROR(INDEX(SOURCES!$K$4:$K$83,MATCH(B35,SOURCES!$A$4:$A$83,0)),""))</x:f>
      </x:c>
      <x:c r="L35" s="119"/>
      <x:c r="M35" s="119"/>
      <x:c r="N35" s="119"/>
      <x:c r="O35" s="119"/>
      <x:c r="P35" s="126" t="str">
        <x:f>IF(G35="","",IF(I35="Direct Quote",IF(H35="","ACTION NEEDED","OK"),"N/A"))</x:f>
      </x:c>
      <x:c r="Q35" s="126" t="str">
        <x:f>IF(G35="","",IF(OR(B35="",D35="",I35="",J35=""),"ACTION NEEDED",IF(P35="ACTION NEEDED","ACTION NEEDED","OK")))</x:f>
      </x:c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126" t="str">
        <x:f>IF(G36="","","F"&amp;TEXT(ROW()-3,"000"))</x:f>
      </x:c>
      <x:c r="B36" s="119"/>
      <x:c r="C36" s="126" t="str">
        <x:f>IF(B36="","",IFERROR(INDEX(SOURCES!$C$4:$C$83,MATCH(B36,SOURCES!$A$4:$A$83,0))&amp;IF(INDEX(SOURCES!$D$4:$D$83,MATCH(B36,SOURCES!$A$4:$A$83,0))="",""," ("&amp;INDEX(SOURCES!$D$4:$D$83,MATCH(B36,SOURCES!$A$4:$A$83,0))&amp;")"),"Unknown source"))</x:f>
      </x:c>
      <x:c r="D36" s="119"/>
      <x:c r="E36" s="126" t="str">
        <x:f>IF(D36="","",IFERROR(INDEX(THEMES!$B$4:$B$15,MATCH(D36,THEMES!$A$4:$A$15,0)),"Unknown theme"))</x:f>
      </x:c>
      <x:c r="F36" s="119"/>
      <x:c r="G36" s="119"/>
      <x:c r="H36" s="119"/>
      <x:c r="I36" s="119"/>
      <x:c r="J36" s="119"/>
      <x:c r="K36" s="126" t="str">
        <x:f>IF(B36="","",IFERROR(INDEX(SOURCES!$K$4:$K$83,MATCH(B36,SOURCES!$A$4:$A$83,0)),""))</x:f>
      </x:c>
      <x:c r="L36" s="119"/>
      <x:c r="M36" s="119"/>
      <x:c r="N36" s="119"/>
      <x:c r="O36" s="119"/>
      <x:c r="P36" s="126" t="str">
        <x:f>IF(G36="","",IF(I36="Direct Quote",IF(H36="","ACTION NEEDED","OK"),"N/A"))</x:f>
      </x:c>
      <x:c r="Q36" s="126" t="str">
        <x:f>IF(G36="","",IF(OR(B36="",D36="",I36="",J36=""),"ACTION NEEDED",IF(P36="ACTION NEEDED","ACTION NEEDED","OK")))</x:f>
      </x:c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126" t="str">
        <x:f>IF(G37="","","F"&amp;TEXT(ROW()-3,"000"))</x:f>
      </x:c>
      <x:c r="B37" s="119"/>
      <x:c r="C37" s="126" t="str">
        <x:f>IF(B37="","",IFERROR(INDEX(SOURCES!$C$4:$C$83,MATCH(B37,SOURCES!$A$4:$A$83,0))&amp;IF(INDEX(SOURCES!$D$4:$D$83,MATCH(B37,SOURCES!$A$4:$A$83,0))="",""," ("&amp;INDEX(SOURCES!$D$4:$D$83,MATCH(B37,SOURCES!$A$4:$A$83,0))&amp;")"),"Unknown source"))</x:f>
      </x:c>
      <x:c r="D37" s="119"/>
      <x:c r="E37" s="126" t="str">
        <x:f>IF(D37="","",IFERROR(INDEX(THEMES!$B$4:$B$15,MATCH(D37,THEMES!$A$4:$A$15,0)),"Unknown theme"))</x:f>
      </x:c>
      <x:c r="F37" s="119"/>
      <x:c r="G37" s="119"/>
      <x:c r="H37" s="119"/>
      <x:c r="I37" s="119"/>
      <x:c r="J37" s="119"/>
      <x:c r="K37" s="126" t="str">
        <x:f>IF(B37="","",IFERROR(INDEX(SOURCES!$K$4:$K$83,MATCH(B37,SOURCES!$A$4:$A$83,0)),""))</x:f>
      </x:c>
      <x:c r="L37" s="119"/>
      <x:c r="M37" s="119"/>
      <x:c r="N37" s="119"/>
      <x:c r="O37" s="119"/>
      <x:c r="P37" s="126" t="str">
        <x:f>IF(G37="","",IF(I37="Direct Quote",IF(H37="","ACTION NEEDED","OK"),"N/A"))</x:f>
      </x:c>
      <x:c r="Q37" s="126" t="str">
        <x:f>IF(G37="","",IF(OR(B37="",D37="",I37="",J37=""),"ACTION NEEDED",IF(P37="ACTION NEEDED","ACTION NEEDED","OK")))</x:f>
      </x:c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126" t="str">
        <x:f>IF(G38="","","F"&amp;TEXT(ROW()-3,"000"))</x:f>
      </x:c>
      <x:c r="B38" s="119"/>
      <x:c r="C38" s="126" t="str">
        <x:f>IF(B38="","",IFERROR(INDEX(SOURCES!$C$4:$C$83,MATCH(B38,SOURCES!$A$4:$A$83,0))&amp;IF(INDEX(SOURCES!$D$4:$D$83,MATCH(B38,SOURCES!$A$4:$A$83,0))="",""," ("&amp;INDEX(SOURCES!$D$4:$D$83,MATCH(B38,SOURCES!$A$4:$A$83,0))&amp;")"),"Unknown source"))</x:f>
      </x:c>
      <x:c r="D38" s="119"/>
      <x:c r="E38" s="126" t="str">
        <x:f>IF(D38="","",IFERROR(INDEX(THEMES!$B$4:$B$15,MATCH(D38,THEMES!$A$4:$A$15,0)),"Unknown theme"))</x:f>
      </x:c>
      <x:c r="F38" s="119"/>
      <x:c r="G38" s="119"/>
      <x:c r="H38" s="119"/>
      <x:c r="I38" s="119"/>
      <x:c r="J38" s="119"/>
      <x:c r="K38" s="126" t="str">
        <x:f>IF(B38="","",IFERROR(INDEX(SOURCES!$K$4:$K$83,MATCH(B38,SOURCES!$A$4:$A$83,0)),""))</x:f>
      </x:c>
      <x:c r="L38" s="119"/>
      <x:c r="M38" s="119"/>
      <x:c r="N38" s="119"/>
      <x:c r="O38" s="119"/>
      <x:c r="P38" s="126" t="str">
        <x:f>IF(G38="","",IF(I38="Direct Quote",IF(H38="","ACTION NEEDED","OK"),"N/A"))</x:f>
      </x:c>
      <x:c r="Q38" s="126" t="str">
        <x:f>IF(G38="","",IF(OR(B38="",D38="",I38="",J38=""),"ACTION NEEDED",IF(P38="ACTION NEEDED","ACTION NEEDED","OK")))</x:f>
      </x:c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126" t="str">
        <x:f>IF(G39="","","F"&amp;TEXT(ROW()-3,"000"))</x:f>
      </x:c>
      <x:c r="B39" s="119"/>
      <x:c r="C39" s="126" t="str">
        <x:f>IF(B39="","",IFERROR(INDEX(SOURCES!$C$4:$C$83,MATCH(B39,SOURCES!$A$4:$A$83,0))&amp;IF(INDEX(SOURCES!$D$4:$D$83,MATCH(B39,SOURCES!$A$4:$A$83,0))="",""," ("&amp;INDEX(SOURCES!$D$4:$D$83,MATCH(B39,SOURCES!$A$4:$A$83,0))&amp;")"),"Unknown source"))</x:f>
      </x:c>
      <x:c r="D39" s="119"/>
      <x:c r="E39" s="126" t="str">
        <x:f>IF(D39="","",IFERROR(INDEX(THEMES!$B$4:$B$15,MATCH(D39,THEMES!$A$4:$A$15,0)),"Unknown theme"))</x:f>
      </x:c>
      <x:c r="F39" s="119"/>
      <x:c r="G39" s="119"/>
      <x:c r="H39" s="119"/>
      <x:c r="I39" s="119"/>
      <x:c r="J39" s="119"/>
      <x:c r="K39" s="126" t="str">
        <x:f>IF(B39="","",IFERROR(INDEX(SOURCES!$K$4:$K$83,MATCH(B39,SOURCES!$A$4:$A$83,0)),""))</x:f>
      </x:c>
      <x:c r="L39" s="119"/>
      <x:c r="M39" s="119"/>
      <x:c r="N39" s="119"/>
      <x:c r="O39" s="119"/>
      <x:c r="P39" s="126" t="str">
        <x:f>IF(G39="","",IF(I39="Direct Quote",IF(H39="","ACTION NEEDED","OK"),"N/A"))</x:f>
      </x:c>
      <x:c r="Q39" s="126" t="str">
        <x:f>IF(G39="","",IF(OR(B39="",D39="",I39="",J39=""),"ACTION NEEDED",IF(P39="ACTION NEEDED","ACTION NEEDED","OK")))</x:f>
      </x:c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126" t="str">
        <x:f>IF(G40="","","F"&amp;TEXT(ROW()-3,"000"))</x:f>
      </x:c>
      <x:c r="B40" s="119"/>
      <x:c r="C40" s="126" t="str">
        <x:f>IF(B40="","",IFERROR(INDEX(SOURCES!$C$4:$C$83,MATCH(B40,SOURCES!$A$4:$A$83,0))&amp;IF(INDEX(SOURCES!$D$4:$D$83,MATCH(B40,SOURCES!$A$4:$A$83,0))="",""," ("&amp;INDEX(SOURCES!$D$4:$D$83,MATCH(B40,SOURCES!$A$4:$A$83,0))&amp;")"),"Unknown source"))</x:f>
      </x:c>
      <x:c r="D40" s="119"/>
      <x:c r="E40" s="126" t="str">
        <x:f>IF(D40="","",IFERROR(INDEX(THEMES!$B$4:$B$15,MATCH(D40,THEMES!$A$4:$A$15,0)),"Unknown theme"))</x:f>
      </x:c>
      <x:c r="F40" s="119"/>
      <x:c r="G40" s="119"/>
      <x:c r="H40" s="119"/>
      <x:c r="I40" s="119"/>
      <x:c r="J40" s="119"/>
      <x:c r="K40" s="126" t="str">
        <x:f>IF(B40="","",IFERROR(INDEX(SOURCES!$K$4:$K$83,MATCH(B40,SOURCES!$A$4:$A$83,0)),""))</x:f>
      </x:c>
      <x:c r="L40" s="119"/>
      <x:c r="M40" s="119"/>
      <x:c r="N40" s="119"/>
      <x:c r="O40" s="119"/>
      <x:c r="P40" s="126" t="str">
        <x:f>IF(G40="","",IF(I40="Direct Quote",IF(H40="","ACTION NEEDED","OK"),"N/A"))</x:f>
      </x:c>
      <x:c r="Q40" s="126" t="str">
        <x:f>IF(G40="","",IF(OR(B40="",D40="",I40="",J40=""),"ACTION NEEDED",IF(P40="ACTION NEEDED","ACTION NEEDED","OK")))</x:f>
      </x:c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126" t="str">
        <x:f>IF(G41="","","F"&amp;TEXT(ROW()-3,"000"))</x:f>
      </x:c>
      <x:c r="B41" s="119"/>
      <x:c r="C41" s="126" t="str">
        <x:f>IF(B41="","",IFERROR(INDEX(SOURCES!$C$4:$C$83,MATCH(B41,SOURCES!$A$4:$A$83,0))&amp;IF(INDEX(SOURCES!$D$4:$D$83,MATCH(B41,SOURCES!$A$4:$A$83,0))="",""," ("&amp;INDEX(SOURCES!$D$4:$D$83,MATCH(B41,SOURCES!$A$4:$A$83,0))&amp;")"),"Unknown source"))</x:f>
      </x:c>
      <x:c r="D41" s="119"/>
      <x:c r="E41" s="126" t="str">
        <x:f>IF(D41="","",IFERROR(INDEX(THEMES!$B$4:$B$15,MATCH(D41,THEMES!$A$4:$A$15,0)),"Unknown theme"))</x:f>
      </x:c>
      <x:c r="F41" s="119"/>
      <x:c r="G41" s="119"/>
      <x:c r="H41" s="119"/>
      <x:c r="I41" s="119"/>
      <x:c r="J41" s="119"/>
      <x:c r="K41" s="126" t="str">
        <x:f>IF(B41="","",IFERROR(INDEX(SOURCES!$K$4:$K$83,MATCH(B41,SOURCES!$A$4:$A$83,0)),""))</x:f>
      </x:c>
      <x:c r="L41" s="119"/>
      <x:c r="M41" s="119"/>
      <x:c r="N41" s="119"/>
      <x:c r="O41" s="119"/>
      <x:c r="P41" s="126" t="str">
        <x:f>IF(G41="","",IF(I41="Direct Quote",IF(H41="","ACTION NEEDED","OK"),"N/A"))</x:f>
      </x:c>
      <x:c r="Q41" s="126" t="str">
        <x:f>IF(G41="","",IF(OR(B41="",D41="",I41="",J41=""),"ACTION NEEDED",IF(P41="ACTION NEEDED","ACTION NEEDED","OK")))</x:f>
      </x:c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126" t="str">
        <x:f>IF(G42="","","F"&amp;TEXT(ROW()-3,"000"))</x:f>
      </x:c>
      <x:c r="B42" s="119"/>
      <x:c r="C42" s="126" t="str">
        <x:f>IF(B42="","",IFERROR(INDEX(SOURCES!$C$4:$C$83,MATCH(B42,SOURCES!$A$4:$A$83,0))&amp;IF(INDEX(SOURCES!$D$4:$D$83,MATCH(B42,SOURCES!$A$4:$A$83,0))="",""," ("&amp;INDEX(SOURCES!$D$4:$D$83,MATCH(B42,SOURCES!$A$4:$A$83,0))&amp;")"),"Unknown source"))</x:f>
      </x:c>
      <x:c r="D42" s="119"/>
      <x:c r="E42" s="126" t="str">
        <x:f>IF(D42="","",IFERROR(INDEX(THEMES!$B$4:$B$15,MATCH(D42,THEMES!$A$4:$A$15,0)),"Unknown theme"))</x:f>
      </x:c>
      <x:c r="F42" s="119"/>
      <x:c r="G42" s="119"/>
      <x:c r="H42" s="119"/>
      <x:c r="I42" s="119"/>
      <x:c r="J42" s="119"/>
      <x:c r="K42" s="126" t="str">
        <x:f>IF(B42="","",IFERROR(INDEX(SOURCES!$K$4:$K$83,MATCH(B42,SOURCES!$A$4:$A$83,0)),""))</x:f>
      </x:c>
      <x:c r="L42" s="119"/>
      <x:c r="M42" s="119"/>
      <x:c r="N42" s="119"/>
      <x:c r="O42" s="119"/>
      <x:c r="P42" s="126" t="str">
        <x:f>IF(G42="","",IF(I42="Direct Quote",IF(H42="","ACTION NEEDED","OK"),"N/A"))</x:f>
      </x:c>
      <x:c r="Q42" s="126" t="str">
        <x:f>IF(G42="","",IF(OR(B42="",D42="",I42="",J42=""),"ACTION NEEDED",IF(P42="ACTION NEEDED","ACTION NEEDED","OK")))</x:f>
      </x:c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126" t="str">
        <x:f>IF(G43="","","F"&amp;TEXT(ROW()-3,"000"))</x:f>
      </x:c>
      <x:c r="B43" s="119"/>
      <x:c r="C43" s="126" t="str">
        <x:f>IF(B43="","",IFERROR(INDEX(SOURCES!$C$4:$C$83,MATCH(B43,SOURCES!$A$4:$A$83,0))&amp;IF(INDEX(SOURCES!$D$4:$D$83,MATCH(B43,SOURCES!$A$4:$A$83,0))="",""," ("&amp;INDEX(SOURCES!$D$4:$D$83,MATCH(B43,SOURCES!$A$4:$A$83,0))&amp;")"),"Unknown source"))</x:f>
      </x:c>
      <x:c r="D43" s="119"/>
      <x:c r="E43" s="126" t="str">
        <x:f>IF(D43="","",IFERROR(INDEX(THEMES!$B$4:$B$15,MATCH(D43,THEMES!$A$4:$A$15,0)),"Unknown theme"))</x:f>
      </x:c>
      <x:c r="F43" s="119"/>
      <x:c r="G43" s="119"/>
      <x:c r="H43" s="119"/>
      <x:c r="I43" s="119"/>
      <x:c r="J43" s="119"/>
      <x:c r="K43" s="126" t="str">
        <x:f>IF(B43="","",IFERROR(INDEX(SOURCES!$K$4:$K$83,MATCH(B43,SOURCES!$A$4:$A$83,0)),""))</x:f>
      </x:c>
      <x:c r="L43" s="119"/>
      <x:c r="M43" s="119"/>
      <x:c r="N43" s="119"/>
      <x:c r="O43" s="119"/>
      <x:c r="P43" s="126" t="str">
        <x:f>IF(G43="","",IF(I43="Direct Quote",IF(H43="","ACTION NEEDED","OK"),"N/A"))</x:f>
      </x:c>
      <x:c r="Q43" s="126" t="str">
        <x:f>IF(G43="","",IF(OR(B43="",D43="",I43="",J43=""),"ACTION NEEDED",IF(P43="ACTION NEEDED","ACTION NEEDED","OK")))</x:f>
      </x:c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126" t="str">
        <x:f>IF(G44="","","F"&amp;TEXT(ROW()-3,"000"))</x:f>
      </x:c>
      <x:c r="B44" s="119"/>
      <x:c r="C44" s="126" t="str">
        <x:f>IF(B44="","",IFERROR(INDEX(SOURCES!$C$4:$C$83,MATCH(B44,SOURCES!$A$4:$A$83,0))&amp;IF(INDEX(SOURCES!$D$4:$D$83,MATCH(B44,SOURCES!$A$4:$A$83,0))="",""," ("&amp;INDEX(SOURCES!$D$4:$D$83,MATCH(B44,SOURCES!$A$4:$A$83,0))&amp;")"),"Unknown source"))</x:f>
      </x:c>
      <x:c r="D44" s="119"/>
      <x:c r="E44" s="126" t="str">
        <x:f>IF(D44="","",IFERROR(INDEX(THEMES!$B$4:$B$15,MATCH(D44,THEMES!$A$4:$A$15,0)),"Unknown theme"))</x:f>
      </x:c>
      <x:c r="F44" s="119"/>
      <x:c r="G44" s="119"/>
      <x:c r="H44" s="119"/>
      <x:c r="I44" s="119"/>
      <x:c r="J44" s="119"/>
      <x:c r="K44" s="126" t="str">
        <x:f>IF(B44="","",IFERROR(INDEX(SOURCES!$K$4:$K$83,MATCH(B44,SOURCES!$A$4:$A$83,0)),""))</x:f>
      </x:c>
      <x:c r="L44" s="119"/>
      <x:c r="M44" s="119"/>
      <x:c r="N44" s="119"/>
      <x:c r="O44" s="119"/>
      <x:c r="P44" s="126" t="str">
        <x:f>IF(G44="","",IF(I44="Direct Quote",IF(H44="","ACTION NEEDED","OK"),"N/A"))</x:f>
      </x:c>
      <x:c r="Q44" s="126" t="str">
        <x:f>IF(G44="","",IF(OR(B44="",D44="",I44="",J44=""),"ACTION NEEDED",IF(P44="ACTION NEEDED","ACTION NEEDED","OK")))</x:f>
      </x:c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126" t="str">
        <x:f>IF(G45="","","F"&amp;TEXT(ROW()-3,"000"))</x:f>
      </x:c>
      <x:c r="B45" s="119"/>
      <x:c r="C45" s="126" t="str">
        <x:f>IF(B45="","",IFERROR(INDEX(SOURCES!$C$4:$C$83,MATCH(B45,SOURCES!$A$4:$A$83,0))&amp;IF(INDEX(SOURCES!$D$4:$D$83,MATCH(B45,SOURCES!$A$4:$A$83,0))="",""," ("&amp;INDEX(SOURCES!$D$4:$D$83,MATCH(B45,SOURCES!$A$4:$A$83,0))&amp;")"),"Unknown source"))</x:f>
      </x:c>
      <x:c r="D45" s="119"/>
      <x:c r="E45" s="126" t="str">
        <x:f>IF(D45="","",IFERROR(INDEX(THEMES!$B$4:$B$15,MATCH(D45,THEMES!$A$4:$A$15,0)),"Unknown theme"))</x:f>
      </x:c>
      <x:c r="F45" s="119"/>
      <x:c r="G45" s="119"/>
      <x:c r="H45" s="119"/>
      <x:c r="I45" s="119"/>
      <x:c r="J45" s="119"/>
      <x:c r="K45" s="126" t="str">
        <x:f>IF(B45="","",IFERROR(INDEX(SOURCES!$K$4:$K$83,MATCH(B45,SOURCES!$A$4:$A$83,0)),""))</x:f>
      </x:c>
      <x:c r="L45" s="119"/>
      <x:c r="M45" s="119"/>
      <x:c r="N45" s="119"/>
      <x:c r="O45" s="119"/>
      <x:c r="P45" s="126" t="str">
        <x:f>IF(G45="","",IF(I45="Direct Quote",IF(H45="","ACTION NEEDED","OK"),"N/A"))</x:f>
      </x:c>
      <x:c r="Q45" s="126" t="str">
        <x:f>IF(G45="","",IF(OR(B45="",D45="",I45="",J45=""),"ACTION NEEDED",IF(P45="ACTION NEEDED","ACTION NEEDED","OK")))</x:f>
      </x:c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126" t="str">
        <x:f>IF(G46="","","F"&amp;TEXT(ROW()-3,"000"))</x:f>
      </x:c>
      <x:c r="B46" s="119"/>
      <x:c r="C46" s="126" t="str">
        <x:f>IF(B46="","",IFERROR(INDEX(SOURCES!$C$4:$C$83,MATCH(B46,SOURCES!$A$4:$A$83,0))&amp;IF(INDEX(SOURCES!$D$4:$D$83,MATCH(B46,SOURCES!$A$4:$A$83,0))="",""," ("&amp;INDEX(SOURCES!$D$4:$D$83,MATCH(B46,SOURCES!$A$4:$A$83,0))&amp;")"),"Unknown source"))</x:f>
      </x:c>
      <x:c r="D46" s="119"/>
      <x:c r="E46" s="126" t="str">
        <x:f>IF(D46="","",IFERROR(INDEX(THEMES!$B$4:$B$15,MATCH(D46,THEMES!$A$4:$A$15,0)),"Unknown theme"))</x:f>
      </x:c>
      <x:c r="F46" s="119"/>
      <x:c r="G46" s="119"/>
      <x:c r="H46" s="119"/>
      <x:c r="I46" s="119"/>
      <x:c r="J46" s="119"/>
      <x:c r="K46" s="126" t="str">
        <x:f>IF(B46="","",IFERROR(INDEX(SOURCES!$K$4:$K$83,MATCH(B46,SOURCES!$A$4:$A$83,0)),""))</x:f>
      </x:c>
      <x:c r="L46" s="119"/>
      <x:c r="M46" s="119"/>
      <x:c r="N46" s="119"/>
      <x:c r="O46" s="119"/>
      <x:c r="P46" s="126" t="str">
        <x:f>IF(G46="","",IF(I46="Direct Quote",IF(H46="","ACTION NEEDED","OK"),"N/A"))</x:f>
      </x:c>
      <x:c r="Q46" s="126" t="str">
        <x:f>IF(G46="","",IF(OR(B46="",D46="",I46="",J46=""),"ACTION NEEDED",IF(P46="ACTION NEEDED","ACTION NEEDED","OK")))</x:f>
      </x:c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126" t="str">
        <x:f>IF(G47="","","F"&amp;TEXT(ROW()-3,"000"))</x:f>
      </x:c>
      <x:c r="B47" s="119"/>
      <x:c r="C47" s="126" t="str">
        <x:f>IF(B47="","",IFERROR(INDEX(SOURCES!$C$4:$C$83,MATCH(B47,SOURCES!$A$4:$A$83,0))&amp;IF(INDEX(SOURCES!$D$4:$D$83,MATCH(B47,SOURCES!$A$4:$A$83,0))="",""," ("&amp;INDEX(SOURCES!$D$4:$D$83,MATCH(B47,SOURCES!$A$4:$A$83,0))&amp;")"),"Unknown source"))</x:f>
      </x:c>
      <x:c r="D47" s="119"/>
      <x:c r="E47" s="126" t="str">
        <x:f>IF(D47="","",IFERROR(INDEX(THEMES!$B$4:$B$15,MATCH(D47,THEMES!$A$4:$A$15,0)),"Unknown theme"))</x:f>
      </x:c>
      <x:c r="F47" s="119"/>
      <x:c r="G47" s="119"/>
      <x:c r="H47" s="119"/>
      <x:c r="I47" s="119"/>
      <x:c r="J47" s="119"/>
      <x:c r="K47" s="126" t="str">
        <x:f>IF(B47="","",IFERROR(INDEX(SOURCES!$K$4:$K$83,MATCH(B47,SOURCES!$A$4:$A$83,0)),""))</x:f>
      </x:c>
      <x:c r="L47" s="119"/>
      <x:c r="M47" s="119"/>
      <x:c r="N47" s="119"/>
      <x:c r="O47" s="119"/>
      <x:c r="P47" s="126" t="str">
        <x:f>IF(G47="","",IF(I47="Direct Quote",IF(H47="","ACTION NEEDED","OK"),"N/A"))</x:f>
      </x:c>
      <x:c r="Q47" s="126" t="str">
        <x:f>IF(G47="","",IF(OR(B47="",D47="",I47="",J47=""),"ACTION NEEDED",IF(P47="ACTION NEEDED","ACTION NEEDED","OK")))</x:f>
      </x:c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126" t="str">
        <x:f>IF(G48="","","F"&amp;TEXT(ROW()-3,"000"))</x:f>
      </x:c>
      <x:c r="B48" s="119"/>
      <x:c r="C48" s="126" t="str">
        <x:f>IF(B48="","",IFERROR(INDEX(SOURCES!$C$4:$C$83,MATCH(B48,SOURCES!$A$4:$A$83,0))&amp;IF(INDEX(SOURCES!$D$4:$D$83,MATCH(B48,SOURCES!$A$4:$A$83,0))="",""," ("&amp;INDEX(SOURCES!$D$4:$D$83,MATCH(B48,SOURCES!$A$4:$A$83,0))&amp;")"),"Unknown source"))</x:f>
      </x:c>
      <x:c r="D48" s="119"/>
      <x:c r="E48" s="126" t="str">
        <x:f>IF(D48="","",IFERROR(INDEX(THEMES!$B$4:$B$15,MATCH(D48,THEMES!$A$4:$A$15,0)),"Unknown theme"))</x:f>
      </x:c>
      <x:c r="F48" s="119"/>
      <x:c r="G48" s="119"/>
      <x:c r="H48" s="119"/>
      <x:c r="I48" s="119"/>
      <x:c r="J48" s="119"/>
      <x:c r="K48" s="126" t="str">
        <x:f>IF(B48="","",IFERROR(INDEX(SOURCES!$K$4:$K$83,MATCH(B48,SOURCES!$A$4:$A$83,0)),""))</x:f>
      </x:c>
      <x:c r="L48" s="119"/>
      <x:c r="M48" s="119"/>
      <x:c r="N48" s="119"/>
      <x:c r="O48" s="119"/>
      <x:c r="P48" s="126" t="str">
        <x:f>IF(G48="","",IF(I48="Direct Quote",IF(H48="","ACTION NEEDED","OK"),"N/A"))</x:f>
      </x:c>
      <x:c r="Q48" s="126" t="str">
        <x:f>IF(G48="","",IF(OR(B48="",D48="",I48="",J48=""),"ACTION NEEDED",IF(P48="ACTION NEEDED","ACTION NEEDED","OK")))</x:f>
      </x:c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126" t="str">
        <x:f>IF(G49="","","F"&amp;TEXT(ROW()-3,"000"))</x:f>
      </x:c>
      <x:c r="B49" s="119"/>
      <x:c r="C49" s="126" t="str">
        <x:f>IF(B49="","",IFERROR(INDEX(SOURCES!$C$4:$C$83,MATCH(B49,SOURCES!$A$4:$A$83,0))&amp;IF(INDEX(SOURCES!$D$4:$D$83,MATCH(B49,SOURCES!$A$4:$A$83,0))="",""," ("&amp;INDEX(SOURCES!$D$4:$D$83,MATCH(B49,SOURCES!$A$4:$A$83,0))&amp;")"),"Unknown source"))</x:f>
      </x:c>
      <x:c r="D49" s="119"/>
      <x:c r="E49" s="126" t="str">
        <x:f>IF(D49="","",IFERROR(INDEX(THEMES!$B$4:$B$15,MATCH(D49,THEMES!$A$4:$A$15,0)),"Unknown theme"))</x:f>
      </x:c>
      <x:c r="F49" s="119"/>
      <x:c r="G49" s="119"/>
      <x:c r="H49" s="119"/>
      <x:c r="I49" s="119"/>
      <x:c r="J49" s="119"/>
      <x:c r="K49" s="126" t="str">
        <x:f>IF(B49="","",IFERROR(INDEX(SOURCES!$K$4:$K$83,MATCH(B49,SOURCES!$A$4:$A$83,0)),""))</x:f>
      </x:c>
      <x:c r="L49" s="119"/>
      <x:c r="M49" s="119"/>
      <x:c r="N49" s="119"/>
      <x:c r="O49" s="119"/>
      <x:c r="P49" s="126" t="str">
        <x:f>IF(G49="","",IF(I49="Direct Quote",IF(H49="","ACTION NEEDED","OK"),"N/A"))</x:f>
      </x:c>
      <x:c r="Q49" s="126" t="str">
        <x:f>IF(G49="","",IF(OR(B49="",D49="",I49="",J49=""),"ACTION NEEDED",IF(P49="ACTION NEEDED","ACTION NEEDED","OK")))</x:f>
      </x:c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126" t="str">
        <x:f>IF(G50="","","F"&amp;TEXT(ROW()-3,"000"))</x:f>
      </x:c>
      <x:c r="B50" s="119"/>
      <x:c r="C50" s="126" t="str">
        <x:f>IF(B50="","",IFERROR(INDEX(SOURCES!$C$4:$C$83,MATCH(B50,SOURCES!$A$4:$A$83,0))&amp;IF(INDEX(SOURCES!$D$4:$D$83,MATCH(B50,SOURCES!$A$4:$A$83,0))="",""," ("&amp;INDEX(SOURCES!$D$4:$D$83,MATCH(B50,SOURCES!$A$4:$A$83,0))&amp;")"),"Unknown source"))</x:f>
      </x:c>
      <x:c r="D50" s="119"/>
      <x:c r="E50" s="126" t="str">
        <x:f>IF(D50="","",IFERROR(INDEX(THEMES!$B$4:$B$15,MATCH(D50,THEMES!$A$4:$A$15,0)),"Unknown theme"))</x:f>
      </x:c>
      <x:c r="F50" s="119"/>
      <x:c r="G50" s="119"/>
      <x:c r="H50" s="119"/>
      <x:c r="I50" s="119"/>
      <x:c r="J50" s="119"/>
      <x:c r="K50" s="126" t="str">
        <x:f>IF(B50="","",IFERROR(INDEX(SOURCES!$K$4:$K$83,MATCH(B50,SOURCES!$A$4:$A$83,0)),""))</x:f>
      </x:c>
      <x:c r="L50" s="119"/>
      <x:c r="M50" s="119"/>
      <x:c r="N50" s="119"/>
      <x:c r="O50" s="119"/>
      <x:c r="P50" s="126" t="str">
        <x:f>IF(G50="","",IF(I50="Direct Quote",IF(H50="","ACTION NEEDED","OK"),"N/A"))</x:f>
      </x:c>
      <x:c r="Q50" s="126" t="str">
        <x:f>IF(G50="","",IF(OR(B50="",D50="",I50="",J50=""),"ACTION NEEDED",IF(P50="ACTION NEEDED","ACTION NEEDED","OK")))</x:f>
      </x:c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126" t="str">
        <x:f>IF(G51="","","F"&amp;TEXT(ROW()-3,"000"))</x:f>
      </x:c>
      <x:c r="B51" s="119"/>
      <x:c r="C51" s="126" t="str">
        <x:f>IF(B51="","",IFERROR(INDEX(SOURCES!$C$4:$C$83,MATCH(B51,SOURCES!$A$4:$A$83,0))&amp;IF(INDEX(SOURCES!$D$4:$D$83,MATCH(B51,SOURCES!$A$4:$A$83,0))="",""," ("&amp;INDEX(SOURCES!$D$4:$D$83,MATCH(B51,SOURCES!$A$4:$A$83,0))&amp;")"),"Unknown source"))</x:f>
      </x:c>
      <x:c r="D51" s="119"/>
      <x:c r="E51" s="126" t="str">
        <x:f>IF(D51="","",IFERROR(INDEX(THEMES!$B$4:$B$15,MATCH(D51,THEMES!$A$4:$A$15,0)),"Unknown theme"))</x:f>
      </x:c>
      <x:c r="F51" s="119"/>
      <x:c r="G51" s="119"/>
      <x:c r="H51" s="119"/>
      <x:c r="I51" s="119"/>
      <x:c r="J51" s="119"/>
      <x:c r="K51" s="126" t="str">
        <x:f>IF(B51="","",IFERROR(INDEX(SOURCES!$K$4:$K$83,MATCH(B51,SOURCES!$A$4:$A$83,0)),""))</x:f>
      </x:c>
      <x:c r="L51" s="119"/>
      <x:c r="M51" s="119"/>
      <x:c r="N51" s="119"/>
      <x:c r="O51" s="119"/>
      <x:c r="P51" s="126" t="str">
        <x:f>IF(G51="","",IF(I51="Direct Quote",IF(H51="","ACTION NEEDED","OK"),"N/A"))</x:f>
      </x:c>
      <x:c r="Q51" s="126" t="str">
        <x:f>IF(G51="","",IF(OR(B51="",D51="",I51="",J51=""),"ACTION NEEDED",IF(P51="ACTION NEEDED","ACTION NEEDED","OK")))</x:f>
      </x:c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126" t="str">
        <x:f>IF(G52="","","F"&amp;TEXT(ROW()-3,"000"))</x:f>
      </x:c>
      <x:c r="B52" s="119"/>
      <x:c r="C52" s="126" t="str">
        <x:f>IF(B52="","",IFERROR(INDEX(SOURCES!$C$4:$C$83,MATCH(B52,SOURCES!$A$4:$A$83,0))&amp;IF(INDEX(SOURCES!$D$4:$D$83,MATCH(B52,SOURCES!$A$4:$A$83,0))="",""," ("&amp;INDEX(SOURCES!$D$4:$D$83,MATCH(B52,SOURCES!$A$4:$A$83,0))&amp;")"),"Unknown source"))</x:f>
      </x:c>
      <x:c r="D52" s="119"/>
      <x:c r="E52" s="126" t="str">
        <x:f>IF(D52="","",IFERROR(INDEX(THEMES!$B$4:$B$15,MATCH(D52,THEMES!$A$4:$A$15,0)),"Unknown theme"))</x:f>
      </x:c>
      <x:c r="F52" s="119"/>
      <x:c r="G52" s="119"/>
      <x:c r="H52" s="119"/>
      <x:c r="I52" s="119"/>
      <x:c r="J52" s="119"/>
      <x:c r="K52" s="126" t="str">
        <x:f>IF(B52="","",IFERROR(INDEX(SOURCES!$K$4:$K$83,MATCH(B52,SOURCES!$A$4:$A$83,0)),""))</x:f>
      </x:c>
      <x:c r="L52" s="119"/>
      <x:c r="M52" s="119"/>
      <x:c r="N52" s="119"/>
      <x:c r="O52" s="119"/>
      <x:c r="P52" s="126" t="str">
        <x:f>IF(G52="","",IF(I52="Direct Quote",IF(H52="","ACTION NEEDED","OK"),"N/A"))</x:f>
      </x:c>
      <x:c r="Q52" s="126" t="str">
        <x:f>IF(G52="","",IF(OR(B52="",D52="",I52="",J52=""),"ACTION NEEDED",IF(P52="ACTION NEEDED","ACTION NEEDED","OK")))</x:f>
      </x:c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126" t="str">
        <x:f>IF(G53="","","F"&amp;TEXT(ROW()-3,"000"))</x:f>
      </x:c>
      <x:c r="B53" s="119"/>
      <x:c r="C53" s="126" t="str">
        <x:f>IF(B53="","",IFERROR(INDEX(SOURCES!$C$4:$C$83,MATCH(B53,SOURCES!$A$4:$A$83,0))&amp;IF(INDEX(SOURCES!$D$4:$D$83,MATCH(B53,SOURCES!$A$4:$A$83,0))="",""," ("&amp;INDEX(SOURCES!$D$4:$D$83,MATCH(B53,SOURCES!$A$4:$A$83,0))&amp;")"),"Unknown source"))</x:f>
      </x:c>
      <x:c r="D53" s="119"/>
      <x:c r="E53" s="126" t="str">
        <x:f>IF(D53="","",IFERROR(INDEX(THEMES!$B$4:$B$15,MATCH(D53,THEMES!$A$4:$A$15,0)),"Unknown theme"))</x:f>
      </x:c>
      <x:c r="F53" s="119"/>
      <x:c r="G53" s="119"/>
      <x:c r="H53" s="119"/>
      <x:c r="I53" s="119"/>
      <x:c r="J53" s="119"/>
      <x:c r="K53" s="126" t="str">
        <x:f>IF(B53="","",IFERROR(INDEX(SOURCES!$K$4:$K$83,MATCH(B53,SOURCES!$A$4:$A$83,0)),""))</x:f>
      </x:c>
      <x:c r="L53" s="119"/>
      <x:c r="M53" s="119"/>
      <x:c r="N53" s="119"/>
      <x:c r="O53" s="119"/>
      <x:c r="P53" s="126" t="str">
        <x:f>IF(G53="","",IF(I53="Direct Quote",IF(H53="","ACTION NEEDED","OK"),"N/A"))</x:f>
      </x:c>
      <x:c r="Q53" s="126" t="str">
        <x:f>IF(G53="","",IF(OR(B53="",D53="",I53="",J53=""),"ACTION NEEDED",IF(P53="ACTION NEEDED","ACTION NEEDED","OK")))</x:f>
      </x:c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126" t="str">
        <x:f>IF(G54="","","F"&amp;TEXT(ROW()-3,"000"))</x:f>
      </x:c>
      <x:c r="B54" s="119"/>
      <x:c r="C54" s="126" t="str">
        <x:f>IF(B54="","",IFERROR(INDEX(SOURCES!$C$4:$C$83,MATCH(B54,SOURCES!$A$4:$A$83,0))&amp;IF(INDEX(SOURCES!$D$4:$D$83,MATCH(B54,SOURCES!$A$4:$A$83,0))="",""," ("&amp;INDEX(SOURCES!$D$4:$D$83,MATCH(B54,SOURCES!$A$4:$A$83,0))&amp;")"),"Unknown source"))</x:f>
      </x:c>
      <x:c r="D54" s="119"/>
      <x:c r="E54" s="126" t="str">
        <x:f>IF(D54="","",IFERROR(INDEX(THEMES!$B$4:$B$15,MATCH(D54,THEMES!$A$4:$A$15,0)),"Unknown theme"))</x:f>
      </x:c>
      <x:c r="F54" s="119"/>
      <x:c r="G54" s="119"/>
      <x:c r="H54" s="119"/>
      <x:c r="I54" s="119"/>
      <x:c r="J54" s="119"/>
      <x:c r="K54" s="126" t="str">
        <x:f>IF(B54="","",IFERROR(INDEX(SOURCES!$K$4:$K$83,MATCH(B54,SOURCES!$A$4:$A$83,0)),""))</x:f>
      </x:c>
      <x:c r="L54" s="119"/>
      <x:c r="M54" s="119"/>
      <x:c r="N54" s="119"/>
      <x:c r="O54" s="119"/>
      <x:c r="P54" s="126" t="str">
        <x:f>IF(G54="","",IF(I54="Direct Quote",IF(H54="","ACTION NEEDED","OK"),"N/A"))</x:f>
      </x:c>
      <x:c r="Q54" s="126" t="str">
        <x:f>IF(G54="","",IF(OR(B54="",D54="",I54="",J54=""),"ACTION NEEDED",IF(P54="ACTION NEEDED","ACTION NEEDED","OK")))</x:f>
      </x:c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126" t="str">
        <x:f>IF(G55="","","F"&amp;TEXT(ROW()-3,"000"))</x:f>
      </x:c>
      <x:c r="B55" s="119"/>
      <x:c r="C55" s="126" t="str">
        <x:f>IF(B55="","",IFERROR(INDEX(SOURCES!$C$4:$C$83,MATCH(B55,SOURCES!$A$4:$A$83,0))&amp;IF(INDEX(SOURCES!$D$4:$D$83,MATCH(B55,SOURCES!$A$4:$A$83,0))="",""," ("&amp;INDEX(SOURCES!$D$4:$D$83,MATCH(B55,SOURCES!$A$4:$A$83,0))&amp;")"),"Unknown source"))</x:f>
      </x:c>
      <x:c r="D55" s="119"/>
      <x:c r="E55" s="126" t="str">
        <x:f>IF(D55="","",IFERROR(INDEX(THEMES!$B$4:$B$15,MATCH(D55,THEMES!$A$4:$A$15,0)),"Unknown theme"))</x:f>
      </x:c>
      <x:c r="F55" s="119"/>
      <x:c r="G55" s="119"/>
      <x:c r="H55" s="119"/>
      <x:c r="I55" s="119"/>
      <x:c r="J55" s="119"/>
      <x:c r="K55" s="126" t="str">
        <x:f>IF(B55="","",IFERROR(INDEX(SOURCES!$K$4:$K$83,MATCH(B55,SOURCES!$A$4:$A$83,0)),""))</x:f>
      </x:c>
      <x:c r="L55" s="119"/>
      <x:c r="M55" s="119"/>
      <x:c r="N55" s="119"/>
      <x:c r="O55" s="119"/>
      <x:c r="P55" s="126" t="str">
        <x:f>IF(G55="","",IF(I55="Direct Quote",IF(H55="","ACTION NEEDED","OK"),"N/A"))</x:f>
      </x:c>
      <x:c r="Q55" s="126" t="str">
        <x:f>IF(G55="","",IF(OR(B55="",D55="",I55="",J55=""),"ACTION NEEDED",IF(P55="ACTION NEEDED","ACTION NEEDED","OK")))</x:f>
      </x:c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126" t="str">
        <x:f>IF(G56="","","F"&amp;TEXT(ROW()-3,"000"))</x:f>
      </x:c>
      <x:c r="B56" s="119"/>
      <x:c r="C56" s="126" t="str">
        <x:f>IF(B56="","",IFERROR(INDEX(SOURCES!$C$4:$C$83,MATCH(B56,SOURCES!$A$4:$A$83,0))&amp;IF(INDEX(SOURCES!$D$4:$D$83,MATCH(B56,SOURCES!$A$4:$A$83,0))="",""," ("&amp;INDEX(SOURCES!$D$4:$D$83,MATCH(B56,SOURCES!$A$4:$A$83,0))&amp;")"),"Unknown source"))</x:f>
      </x:c>
      <x:c r="D56" s="119"/>
      <x:c r="E56" s="126" t="str">
        <x:f>IF(D56="","",IFERROR(INDEX(THEMES!$B$4:$B$15,MATCH(D56,THEMES!$A$4:$A$15,0)),"Unknown theme"))</x:f>
      </x:c>
      <x:c r="F56" s="119"/>
      <x:c r="G56" s="119"/>
      <x:c r="H56" s="119"/>
      <x:c r="I56" s="119"/>
      <x:c r="J56" s="119"/>
      <x:c r="K56" s="126" t="str">
        <x:f>IF(B56="","",IFERROR(INDEX(SOURCES!$K$4:$K$83,MATCH(B56,SOURCES!$A$4:$A$83,0)),""))</x:f>
      </x:c>
      <x:c r="L56" s="119"/>
      <x:c r="M56" s="119"/>
      <x:c r="N56" s="119"/>
      <x:c r="O56" s="119"/>
      <x:c r="P56" s="126" t="str">
        <x:f>IF(G56="","",IF(I56="Direct Quote",IF(H56="","ACTION NEEDED","OK"),"N/A"))</x:f>
      </x:c>
      <x:c r="Q56" s="126" t="str">
        <x:f>IF(G56="","",IF(OR(B56="",D56="",I56="",J56=""),"ACTION NEEDED",IF(P56="ACTION NEEDED","ACTION NEEDED","OK")))</x:f>
      </x:c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126" t="str">
        <x:f>IF(G57="","","F"&amp;TEXT(ROW()-3,"000"))</x:f>
      </x:c>
      <x:c r="B57" s="119"/>
      <x:c r="C57" s="126" t="str">
        <x:f>IF(B57="","",IFERROR(INDEX(SOURCES!$C$4:$C$83,MATCH(B57,SOURCES!$A$4:$A$83,0))&amp;IF(INDEX(SOURCES!$D$4:$D$83,MATCH(B57,SOURCES!$A$4:$A$83,0))="",""," ("&amp;INDEX(SOURCES!$D$4:$D$83,MATCH(B57,SOURCES!$A$4:$A$83,0))&amp;")"),"Unknown source"))</x:f>
      </x:c>
      <x:c r="D57" s="119"/>
      <x:c r="E57" s="126" t="str">
        <x:f>IF(D57="","",IFERROR(INDEX(THEMES!$B$4:$B$15,MATCH(D57,THEMES!$A$4:$A$15,0)),"Unknown theme"))</x:f>
      </x:c>
      <x:c r="F57" s="119"/>
      <x:c r="G57" s="119"/>
      <x:c r="H57" s="119"/>
      <x:c r="I57" s="119"/>
      <x:c r="J57" s="119"/>
      <x:c r="K57" s="126" t="str">
        <x:f>IF(B57="","",IFERROR(INDEX(SOURCES!$K$4:$K$83,MATCH(B57,SOURCES!$A$4:$A$83,0)),""))</x:f>
      </x:c>
      <x:c r="L57" s="119"/>
      <x:c r="M57" s="119"/>
      <x:c r="N57" s="119"/>
      <x:c r="O57" s="119"/>
      <x:c r="P57" s="126" t="str">
        <x:f>IF(G57="","",IF(I57="Direct Quote",IF(H57="","ACTION NEEDED","OK"),"N/A"))</x:f>
      </x:c>
      <x:c r="Q57" s="126" t="str">
        <x:f>IF(G57="","",IF(OR(B57="",D57="",I57="",J57=""),"ACTION NEEDED",IF(P57="ACTION NEEDED","ACTION NEEDED","OK")))</x:f>
      </x:c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126" t="str">
        <x:f>IF(G58="","","F"&amp;TEXT(ROW()-3,"000"))</x:f>
      </x:c>
      <x:c r="B58" s="119"/>
      <x:c r="C58" s="126" t="str">
        <x:f>IF(B58="","",IFERROR(INDEX(SOURCES!$C$4:$C$83,MATCH(B58,SOURCES!$A$4:$A$83,0))&amp;IF(INDEX(SOURCES!$D$4:$D$83,MATCH(B58,SOURCES!$A$4:$A$83,0))="",""," ("&amp;INDEX(SOURCES!$D$4:$D$83,MATCH(B58,SOURCES!$A$4:$A$83,0))&amp;")"),"Unknown source"))</x:f>
      </x:c>
      <x:c r="D58" s="119"/>
      <x:c r="E58" s="126" t="str">
        <x:f>IF(D58="","",IFERROR(INDEX(THEMES!$B$4:$B$15,MATCH(D58,THEMES!$A$4:$A$15,0)),"Unknown theme"))</x:f>
      </x:c>
      <x:c r="F58" s="119"/>
      <x:c r="G58" s="119"/>
      <x:c r="H58" s="119"/>
      <x:c r="I58" s="119"/>
      <x:c r="J58" s="119"/>
      <x:c r="K58" s="126" t="str">
        <x:f>IF(B58="","",IFERROR(INDEX(SOURCES!$K$4:$K$83,MATCH(B58,SOURCES!$A$4:$A$83,0)),""))</x:f>
      </x:c>
      <x:c r="L58" s="119"/>
      <x:c r="M58" s="119"/>
      <x:c r="N58" s="119"/>
      <x:c r="O58" s="119"/>
      <x:c r="P58" s="126" t="str">
        <x:f>IF(G58="","",IF(I58="Direct Quote",IF(H58="","ACTION NEEDED","OK"),"N/A"))</x:f>
      </x:c>
      <x:c r="Q58" s="126" t="str">
        <x:f>IF(G58="","",IF(OR(B58="",D58="",I58="",J58=""),"ACTION NEEDED",IF(P58="ACTION NEEDED","ACTION NEEDED","OK")))</x:f>
      </x:c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126" t="str">
        <x:f>IF(G59="","","F"&amp;TEXT(ROW()-3,"000"))</x:f>
      </x:c>
      <x:c r="B59" s="119"/>
      <x:c r="C59" s="126" t="str">
        <x:f>IF(B59="","",IFERROR(INDEX(SOURCES!$C$4:$C$83,MATCH(B59,SOURCES!$A$4:$A$83,0))&amp;IF(INDEX(SOURCES!$D$4:$D$83,MATCH(B59,SOURCES!$A$4:$A$83,0))="",""," ("&amp;INDEX(SOURCES!$D$4:$D$83,MATCH(B59,SOURCES!$A$4:$A$83,0))&amp;")"),"Unknown source"))</x:f>
      </x:c>
      <x:c r="D59" s="119"/>
      <x:c r="E59" s="126" t="str">
        <x:f>IF(D59="","",IFERROR(INDEX(THEMES!$B$4:$B$15,MATCH(D59,THEMES!$A$4:$A$15,0)),"Unknown theme"))</x:f>
      </x:c>
      <x:c r="F59" s="119"/>
      <x:c r="G59" s="119"/>
      <x:c r="H59" s="119"/>
      <x:c r="I59" s="119"/>
      <x:c r="J59" s="119"/>
      <x:c r="K59" s="126" t="str">
        <x:f>IF(B59="","",IFERROR(INDEX(SOURCES!$K$4:$K$83,MATCH(B59,SOURCES!$A$4:$A$83,0)),""))</x:f>
      </x:c>
      <x:c r="L59" s="119"/>
      <x:c r="M59" s="119"/>
      <x:c r="N59" s="119"/>
      <x:c r="O59" s="119"/>
      <x:c r="P59" s="126" t="str">
        <x:f>IF(G59="","",IF(I59="Direct Quote",IF(H59="","ACTION NEEDED","OK"),"N/A"))</x:f>
      </x:c>
      <x:c r="Q59" s="126" t="str">
        <x:f>IF(G59="","",IF(OR(B59="",D59="",I59="",J59=""),"ACTION NEEDED",IF(P59="ACTION NEEDED","ACTION NEEDED","OK")))</x:f>
      </x:c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126" t="str">
        <x:f>IF(G60="","","F"&amp;TEXT(ROW()-3,"000"))</x:f>
      </x:c>
      <x:c r="B60" s="119"/>
      <x:c r="C60" s="126" t="str">
        <x:f>IF(B60="","",IFERROR(INDEX(SOURCES!$C$4:$C$83,MATCH(B60,SOURCES!$A$4:$A$83,0))&amp;IF(INDEX(SOURCES!$D$4:$D$83,MATCH(B60,SOURCES!$A$4:$A$83,0))="",""," ("&amp;INDEX(SOURCES!$D$4:$D$83,MATCH(B60,SOURCES!$A$4:$A$83,0))&amp;")"),"Unknown source"))</x:f>
      </x:c>
      <x:c r="D60" s="119"/>
      <x:c r="E60" s="126" t="str">
        <x:f>IF(D60="","",IFERROR(INDEX(THEMES!$B$4:$B$15,MATCH(D60,THEMES!$A$4:$A$15,0)),"Unknown theme"))</x:f>
      </x:c>
      <x:c r="F60" s="119"/>
      <x:c r="G60" s="119"/>
      <x:c r="H60" s="119"/>
      <x:c r="I60" s="119"/>
      <x:c r="J60" s="119"/>
      <x:c r="K60" s="126" t="str">
        <x:f>IF(B60="","",IFERROR(INDEX(SOURCES!$K$4:$K$83,MATCH(B60,SOURCES!$A$4:$A$83,0)),""))</x:f>
      </x:c>
      <x:c r="L60" s="119"/>
      <x:c r="M60" s="119"/>
      <x:c r="N60" s="119"/>
      <x:c r="O60" s="119"/>
      <x:c r="P60" s="126" t="str">
        <x:f>IF(G60="","",IF(I60="Direct Quote",IF(H60="","ACTION NEEDED","OK"),"N/A"))</x:f>
      </x:c>
      <x:c r="Q60" s="126" t="str">
        <x:f>IF(G60="","",IF(OR(B60="",D60="",I60="",J60=""),"ACTION NEEDED",IF(P60="ACTION NEEDED","ACTION NEEDED","OK")))</x:f>
      </x:c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126" t="str">
        <x:f>IF(G61="","","F"&amp;TEXT(ROW()-3,"000"))</x:f>
      </x:c>
      <x:c r="B61" s="119"/>
      <x:c r="C61" s="126" t="str">
        <x:f>IF(B61="","",IFERROR(INDEX(SOURCES!$C$4:$C$83,MATCH(B61,SOURCES!$A$4:$A$83,0))&amp;IF(INDEX(SOURCES!$D$4:$D$83,MATCH(B61,SOURCES!$A$4:$A$83,0))="",""," ("&amp;INDEX(SOURCES!$D$4:$D$83,MATCH(B61,SOURCES!$A$4:$A$83,0))&amp;")"),"Unknown source"))</x:f>
      </x:c>
      <x:c r="D61" s="119"/>
      <x:c r="E61" s="126" t="str">
        <x:f>IF(D61="","",IFERROR(INDEX(THEMES!$B$4:$B$15,MATCH(D61,THEMES!$A$4:$A$15,0)),"Unknown theme"))</x:f>
      </x:c>
      <x:c r="F61" s="119"/>
      <x:c r="G61" s="119"/>
      <x:c r="H61" s="119"/>
      <x:c r="I61" s="119"/>
      <x:c r="J61" s="119"/>
      <x:c r="K61" s="126" t="str">
        <x:f>IF(B61="","",IFERROR(INDEX(SOURCES!$K$4:$K$83,MATCH(B61,SOURCES!$A$4:$A$83,0)),""))</x:f>
      </x:c>
      <x:c r="L61" s="119"/>
      <x:c r="M61" s="119"/>
      <x:c r="N61" s="119"/>
      <x:c r="O61" s="119"/>
      <x:c r="P61" s="126" t="str">
        <x:f>IF(G61="","",IF(I61="Direct Quote",IF(H61="","ACTION NEEDED","OK"),"N/A"))</x:f>
      </x:c>
      <x:c r="Q61" s="126" t="str">
        <x:f>IF(G61="","",IF(OR(B61="",D61="",I61="",J61=""),"ACTION NEEDED",IF(P61="ACTION NEEDED","ACTION NEEDED","OK")))</x:f>
      </x:c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126" t="str">
        <x:f>IF(G62="","","F"&amp;TEXT(ROW()-3,"000"))</x:f>
      </x:c>
      <x:c r="B62" s="119"/>
      <x:c r="C62" s="126" t="str">
        <x:f>IF(B62="","",IFERROR(INDEX(SOURCES!$C$4:$C$83,MATCH(B62,SOURCES!$A$4:$A$83,0))&amp;IF(INDEX(SOURCES!$D$4:$D$83,MATCH(B62,SOURCES!$A$4:$A$83,0))="",""," ("&amp;INDEX(SOURCES!$D$4:$D$83,MATCH(B62,SOURCES!$A$4:$A$83,0))&amp;")"),"Unknown source"))</x:f>
      </x:c>
      <x:c r="D62" s="119"/>
      <x:c r="E62" s="126" t="str">
        <x:f>IF(D62="","",IFERROR(INDEX(THEMES!$B$4:$B$15,MATCH(D62,THEMES!$A$4:$A$15,0)),"Unknown theme"))</x:f>
      </x:c>
      <x:c r="F62" s="119"/>
      <x:c r="G62" s="119"/>
      <x:c r="H62" s="119"/>
      <x:c r="I62" s="119"/>
      <x:c r="J62" s="119"/>
      <x:c r="K62" s="126" t="str">
        <x:f>IF(B62="","",IFERROR(INDEX(SOURCES!$K$4:$K$83,MATCH(B62,SOURCES!$A$4:$A$83,0)),""))</x:f>
      </x:c>
      <x:c r="L62" s="119"/>
      <x:c r="M62" s="119"/>
      <x:c r="N62" s="119"/>
      <x:c r="O62" s="119"/>
      <x:c r="P62" s="126" t="str">
        <x:f>IF(G62="","",IF(I62="Direct Quote",IF(H62="","ACTION NEEDED","OK"),"N/A"))</x:f>
      </x:c>
      <x:c r="Q62" s="126" t="str">
        <x:f>IF(G62="","",IF(OR(B62="",D62="",I62="",J62=""),"ACTION NEEDED",IF(P62="ACTION NEEDED","ACTION NEEDED","OK")))</x:f>
      </x:c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126" t="str">
        <x:f>IF(G63="","","F"&amp;TEXT(ROW()-3,"000"))</x:f>
      </x:c>
      <x:c r="B63" s="119"/>
      <x:c r="C63" s="126" t="str">
        <x:f>IF(B63="","",IFERROR(INDEX(SOURCES!$C$4:$C$83,MATCH(B63,SOURCES!$A$4:$A$83,0))&amp;IF(INDEX(SOURCES!$D$4:$D$83,MATCH(B63,SOURCES!$A$4:$A$83,0))="",""," ("&amp;INDEX(SOURCES!$D$4:$D$83,MATCH(B63,SOURCES!$A$4:$A$83,0))&amp;")"),"Unknown source"))</x:f>
      </x:c>
      <x:c r="D63" s="119"/>
      <x:c r="E63" s="126" t="str">
        <x:f>IF(D63="","",IFERROR(INDEX(THEMES!$B$4:$B$15,MATCH(D63,THEMES!$A$4:$A$15,0)),"Unknown theme"))</x:f>
      </x:c>
      <x:c r="F63" s="119"/>
      <x:c r="G63" s="119"/>
      <x:c r="H63" s="119"/>
      <x:c r="I63" s="119"/>
      <x:c r="J63" s="119"/>
      <x:c r="K63" s="126" t="str">
        <x:f>IF(B63="","",IFERROR(INDEX(SOURCES!$K$4:$K$83,MATCH(B63,SOURCES!$A$4:$A$83,0)),""))</x:f>
      </x:c>
      <x:c r="L63" s="119"/>
      <x:c r="M63" s="119"/>
      <x:c r="N63" s="119"/>
      <x:c r="O63" s="119"/>
      <x:c r="P63" s="126" t="str">
        <x:f>IF(G63="","",IF(I63="Direct Quote",IF(H63="","ACTION NEEDED","OK"),"N/A"))</x:f>
      </x:c>
      <x:c r="Q63" s="126" t="str">
        <x:f>IF(G63="","",IF(OR(B63="",D63="",I63="",J63=""),"ACTION NEEDED",IF(P63="ACTION NEEDED","ACTION NEEDED","OK")))</x:f>
      </x:c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126" t="str">
        <x:f>IF(G64="","","F"&amp;TEXT(ROW()-3,"000"))</x:f>
      </x:c>
      <x:c r="B64" s="119"/>
      <x:c r="C64" s="126" t="str">
        <x:f>IF(B64="","",IFERROR(INDEX(SOURCES!$C$4:$C$83,MATCH(B64,SOURCES!$A$4:$A$83,0))&amp;IF(INDEX(SOURCES!$D$4:$D$83,MATCH(B64,SOURCES!$A$4:$A$83,0))="",""," ("&amp;INDEX(SOURCES!$D$4:$D$83,MATCH(B64,SOURCES!$A$4:$A$83,0))&amp;")"),"Unknown source"))</x:f>
      </x:c>
      <x:c r="D64" s="119"/>
      <x:c r="E64" s="126" t="str">
        <x:f>IF(D64="","",IFERROR(INDEX(THEMES!$B$4:$B$15,MATCH(D64,THEMES!$A$4:$A$15,0)),"Unknown theme"))</x:f>
      </x:c>
      <x:c r="F64" s="119"/>
      <x:c r="G64" s="119"/>
      <x:c r="H64" s="119"/>
      <x:c r="I64" s="119"/>
      <x:c r="J64" s="119"/>
      <x:c r="K64" s="126" t="str">
        <x:f>IF(B64="","",IFERROR(INDEX(SOURCES!$K$4:$K$83,MATCH(B64,SOURCES!$A$4:$A$83,0)),""))</x:f>
      </x:c>
      <x:c r="L64" s="119"/>
      <x:c r="M64" s="119"/>
      <x:c r="N64" s="119"/>
      <x:c r="O64" s="119"/>
      <x:c r="P64" s="126" t="str">
        <x:f>IF(G64="","",IF(I64="Direct Quote",IF(H64="","ACTION NEEDED","OK"),"N/A"))</x:f>
      </x:c>
      <x:c r="Q64" s="126" t="str">
        <x:f>IF(G64="","",IF(OR(B64="",D64="",I64="",J64=""),"ACTION NEEDED",IF(P64="ACTION NEEDED","ACTION NEEDED","OK")))</x:f>
      </x:c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126" t="str">
        <x:f>IF(G65="","","F"&amp;TEXT(ROW()-3,"000"))</x:f>
      </x:c>
      <x:c r="B65" s="119"/>
      <x:c r="C65" s="126" t="str">
        <x:f>IF(B65="","",IFERROR(INDEX(SOURCES!$C$4:$C$83,MATCH(B65,SOURCES!$A$4:$A$83,0))&amp;IF(INDEX(SOURCES!$D$4:$D$83,MATCH(B65,SOURCES!$A$4:$A$83,0))="",""," ("&amp;INDEX(SOURCES!$D$4:$D$83,MATCH(B65,SOURCES!$A$4:$A$83,0))&amp;")"),"Unknown source"))</x:f>
      </x:c>
      <x:c r="D65" s="119"/>
      <x:c r="E65" s="126" t="str">
        <x:f>IF(D65="","",IFERROR(INDEX(THEMES!$B$4:$B$15,MATCH(D65,THEMES!$A$4:$A$15,0)),"Unknown theme"))</x:f>
      </x:c>
      <x:c r="F65" s="119"/>
      <x:c r="G65" s="119"/>
      <x:c r="H65" s="119"/>
      <x:c r="I65" s="119"/>
      <x:c r="J65" s="119"/>
      <x:c r="K65" s="126" t="str">
        <x:f>IF(B65="","",IFERROR(INDEX(SOURCES!$K$4:$K$83,MATCH(B65,SOURCES!$A$4:$A$83,0)),""))</x:f>
      </x:c>
      <x:c r="L65" s="119"/>
      <x:c r="M65" s="119"/>
      <x:c r="N65" s="119"/>
      <x:c r="O65" s="119"/>
      <x:c r="P65" s="126" t="str">
        <x:f>IF(G65="","",IF(I65="Direct Quote",IF(H65="","ACTION NEEDED","OK"),"N/A"))</x:f>
      </x:c>
      <x:c r="Q65" s="126" t="str">
        <x:f>IF(G65="","",IF(OR(B65="",D65="",I65="",J65=""),"ACTION NEEDED",IF(P65="ACTION NEEDED","ACTION NEEDED","OK")))</x:f>
      </x:c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126" t="str">
        <x:f>IF(G66="","","F"&amp;TEXT(ROW()-3,"000"))</x:f>
      </x:c>
      <x:c r="B66" s="119"/>
      <x:c r="C66" s="126" t="str">
        <x:f>IF(B66="","",IFERROR(INDEX(SOURCES!$C$4:$C$83,MATCH(B66,SOURCES!$A$4:$A$83,0))&amp;IF(INDEX(SOURCES!$D$4:$D$83,MATCH(B66,SOURCES!$A$4:$A$83,0))="",""," ("&amp;INDEX(SOURCES!$D$4:$D$83,MATCH(B66,SOURCES!$A$4:$A$83,0))&amp;")"),"Unknown source"))</x:f>
      </x:c>
      <x:c r="D66" s="119"/>
      <x:c r="E66" s="126" t="str">
        <x:f>IF(D66="","",IFERROR(INDEX(THEMES!$B$4:$B$15,MATCH(D66,THEMES!$A$4:$A$15,0)),"Unknown theme"))</x:f>
      </x:c>
      <x:c r="F66" s="119"/>
      <x:c r="G66" s="119"/>
      <x:c r="H66" s="119"/>
      <x:c r="I66" s="119"/>
      <x:c r="J66" s="119"/>
      <x:c r="K66" s="126" t="str">
        <x:f>IF(B66="","",IFERROR(INDEX(SOURCES!$K$4:$K$83,MATCH(B66,SOURCES!$A$4:$A$83,0)),""))</x:f>
      </x:c>
      <x:c r="L66" s="119"/>
      <x:c r="M66" s="119"/>
      <x:c r="N66" s="119"/>
      <x:c r="O66" s="119"/>
      <x:c r="P66" s="126" t="str">
        <x:f>IF(G66="","",IF(I66="Direct Quote",IF(H66="","ACTION NEEDED","OK"),"N/A"))</x:f>
      </x:c>
      <x:c r="Q66" s="126" t="str">
        <x:f>IF(G66="","",IF(OR(B66="",D66="",I66="",J66=""),"ACTION NEEDED",IF(P66="ACTION NEEDED","ACTION NEEDED","OK")))</x:f>
      </x:c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126" t="str">
        <x:f>IF(G67="","","F"&amp;TEXT(ROW()-3,"000"))</x:f>
      </x:c>
      <x:c r="B67" s="119"/>
      <x:c r="C67" s="126" t="str">
        <x:f>IF(B67="","",IFERROR(INDEX(SOURCES!$C$4:$C$83,MATCH(B67,SOURCES!$A$4:$A$83,0))&amp;IF(INDEX(SOURCES!$D$4:$D$83,MATCH(B67,SOURCES!$A$4:$A$83,0))="",""," ("&amp;INDEX(SOURCES!$D$4:$D$83,MATCH(B67,SOURCES!$A$4:$A$83,0))&amp;")"),"Unknown source"))</x:f>
      </x:c>
      <x:c r="D67" s="119"/>
      <x:c r="E67" s="126" t="str">
        <x:f>IF(D67="","",IFERROR(INDEX(THEMES!$B$4:$B$15,MATCH(D67,THEMES!$A$4:$A$15,0)),"Unknown theme"))</x:f>
      </x:c>
      <x:c r="F67" s="119"/>
      <x:c r="G67" s="119"/>
      <x:c r="H67" s="119"/>
      <x:c r="I67" s="119"/>
      <x:c r="J67" s="119"/>
      <x:c r="K67" s="126" t="str">
        <x:f>IF(B67="","",IFERROR(INDEX(SOURCES!$K$4:$K$83,MATCH(B67,SOURCES!$A$4:$A$83,0)),""))</x:f>
      </x:c>
      <x:c r="L67" s="119"/>
      <x:c r="M67" s="119"/>
      <x:c r="N67" s="119"/>
      <x:c r="O67" s="119"/>
      <x:c r="P67" s="126" t="str">
        <x:f>IF(G67="","",IF(I67="Direct Quote",IF(H67="","ACTION NEEDED","OK"),"N/A"))</x:f>
      </x:c>
      <x:c r="Q67" s="126" t="str">
        <x:f>IF(G67="","",IF(OR(B67="",D67="",I67="",J67=""),"ACTION NEEDED",IF(P67="ACTION NEEDED","ACTION NEEDED","OK")))</x:f>
      </x:c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126" t="str">
        <x:f>IF(G68="","","F"&amp;TEXT(ROW()-3,"000"))</x:f>
      </x:c>
      <x:c r="B68" s="119"/>
      <x:c r="C68" s="126" t="str">
        <x:f>IF(B68="","",IFERROR(INDEX(SOURCES!$C$4:$C$83,MATCH(B68,SOURCES!$A$4:$A$83,0))&amp;IF(INDEX(SOURCES!$D$4:$D$83,MATCH(B68,SOURCES!$A$4:$A$83,0))="",""," ("&amp;INDEX(SOURCES!$D$4:$D$83,MATCH(B68,SOURCES!$A$4:$A$83,0))&amp;")"),"Unknown source"))</x:f>
      </x:c>
      <x:c r="D68" s="119"/>
      <x:c r="E68" s="126" t="str">
        <x:f>IF(D68="","",IFERROR(INDEX(THEMES!$B$4:$B$15,MATCH(D68,THEMES!$A$4:$A$15,0)),"Unknown theme"))</x:f>
      </x:c>
      <x:c r="F68" s="119"/>
      <x:c r="G68" s="119"/>
      <x:c r="H68" s="119"/>
      <x:c r="I68" s="119"/>
      <x:c r="J68" s="119"/>
      <x:c r="K68" s="126" t="str">
        <x:f>IF(B68="","",IFERROR(INDEX(SOURCES!$K$4:$K$83,MATCH(B68,SOURCES!$A$4:$A$83,0)),""))</x:f>
      </x:c>
      <x:c r="L68" s="119"/>
      <x:c r="M68" s="119"/>
      <x:c r="N68" s="119"/>
      <x:c r="O68" s="119"/>
      <x:c r="P68" s="126" t="str">
        <x:f>IF(G68="","",IF(I68="Direct Quote",IF(H68="","ACTION NEEDED","OK"),"N/A"))</x:f>
      </x:c>
      <x:c r="Q68" s="126" t="str">
        <x:f>IF(G68="","",IF(OR(B68="",D68="",I68="",J68=""),"ACTION NEEDED",IF(P68="ACTION NEEDED","ACTION NEEDED","OK")))</x:f>
      </x:c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126" t="str">
        <x:f>IF(G69="","","F"&amp;TEXT(ROW()-3,"000"))</x:f>
      </x:c>
      <x:c r="B69" s="119"/>
      <x:c r="C69" s="126" t="str">
        <x:f>IF(B69="","",IFERROR(INDEX(SOURCES!$C$4:$C$83,MATCH(B69,SOURCES!$A$4:$A$83,0))&amp;IF(INDEX(SOURCES!$D$4:$D$83,MATCH(B69,SOURCES!$A$4:$A$83,0))="",""," ("&amp;INDEX(SOURCES!$D$4:$D$83,MATCH(B69,SOURCES!$A$4:$A$83,0))&amp;")"),"Unknown source"))</x:f>
      </x:c>
      <x:c r="D69" s="119"/>
      <x:c r="E69" s="126" t="str">
        <x:f>IF(D69="","",IFERROR(INDEX(THEMES!$B$4:$B$15,MATCH(D69,THEMES!$A$4:$A$15,0)),"Unknown theme"))</x:f>
      </x:c>
      <x:c r="F69" s="119"/>
      <x:c r="G69" s="119"/>
      <x:c r="H69" s="119"/>
      <x:c r="I69" s="119"/>
      <x:c r="J69" s="119"/>
      <x:c r="K69" s="126" t="str">
        <x:f>IF(B69="","",IFERROR(INDEX(SOURCES!$K$4:$K$83,MATCH(B69,SOURCES!$A$4:$A$83,0)),""))</x:f>
      </x:c>
      <x:c r="L69" s="119"/>
      <x:c r="M69" s="119"/>
      <x:c r="N69" s="119"/>
      <x:c r="O69" s="119"/>
      <x:c r="P69" s="126" t="str">
        <x:f>IF(G69="","",IF(I69="Direct Quote",IF(H69="","ACTION NEEDED","OK"),"N/A"))</x:f>
      </x:c>
      <x:c r="Q69" s="126" t="str">
        <x:f>IF(G69="","",IF(OR(B69="",D69="",I69="",J69=""),"ACTION NEEDED",IF(P69="ACTION NEEDED","ACTION NEEDED","OK")))</x:f>
      </x:c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126" t="str">
        <x:f>IF(G70="","","F"&amp;TEXT(ROW()-3,"000"))</x:f>
      </x:c>
      <x:c r="B70" s="119"/>
      <x:c r="C70" s="126" t="str">
        <x:f>IF(B70="","",IFERROR(INDEX(SOURCES!$C$4:$C$83,MATCH(B70,SOURCES!$A$4:$A$83,0))&amp;IF(INDEX(SOURCES!$D$4:$D$83,MATCH(B70,SOURCES!$A$4:$A$83,0))="",""," ("&amp;INDEX(SOURCES!$D$4:$D$83,MATCH(B70,SOURCES!$A$4:$A$83,0))&amp;")"),"Unknown source"))</x:f>
      </x:c>
      <x:c r="D70" s="119"/>
      <x:c r="E70" s="126" t="str">
        <x:f>IF(D70="","",IFERROR(INDEX(THEMES!$B$4:$B$15,MATCH(D70,THEMES!$A$4:$A$15,0)),"Unknown theme"))</x:f>
      </x:c>
      <x:c r="F70" s="119"/>
      <x:c r="G70" s="119"/>
      <x:c r="H70" s="119"/>
      <x:c r="I70" s="119"/>
      <x:c r="J70" s="119"/>
      <x:c r="K70" s="126" t="str">
        <x:f>IF(B70="","",IFERROR(INDEX(SOURCES!$K$4:$K$83,MATCH(B70,SOURCES!$A$4:$A$83,0)),""))</x:f>
      </x:c>
      <x:c r="L70" s="119"/>
      <x:c r="M70" s="119"/>
      <x:c r="N70" s="119"/>
      <x:c r="O70" s="119"/>
      <x:c r="P70" s="126" t="str">
        <x:f>IF(G70="","",IF(I70="Direct Quote",IF(H70="","ACTION NEEDED","OK"),"N/A"))</x:f>
      </x:c>
      <x:c r="Q70" s="126" t="str">
        <x:f>IF(G70="","",IF(OR(B70="",D70="",I70="",J70=""),"ACTION NEEDED",IF(P70="ACTION NEEDED","ACTION NEEDED","OK")))</x:f>
      </x:c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126" t="str">
        <x:f>IF(G71="","","F"&amp;TEXT(ROW()-3,"000"))</x:f>
      </x:c>
      <x:c r="B71" s="119"/>
      <x:c r="C71" s="126" t="str">
        <x:f>IF(B71="","",IFERROR(INDEX(SOURCES!$C$4:$C$83,MATCH(B71,SOURCES!$A$4:$A$83,0))&amp;IF(INDEX(SOURCES!$D$4:$D$83,MATCH(B71,SOURCES!$A$4:$A$83,0))="",""," ("&amp;INDEX(SOURCES!$D$4:$D$83,MATCH(B71,SOURCES!$A$4:$A$83,0))&amp;")"),"Unknown source"))</x:f>
      </x:c>
      <x:c r="D71" s="119"/>
      <x:c r="E71" s="126" t="str">
        <x:f>IF(D71="","",IFERROR(INDEX(THEMES!$B$4:$B$15,MATCH(D71,THEMES!$A$4:$A$15,0)),"Unknown theme"))</x:f>
      </x:c>
      <x:c r="F71" s="119"/>
      <x:c r="G71" s="119"/>
      <x:c r="H71" s="119"/>
      <x:c r="I71" s="119"/>
      <x:c r="J71" s="119"/>
      <x:c r="K71" s="126" t="str">
        <x:f>IF(B71="","",IFERROR(INDEX(SOURCES!$K$4:$K$83,MATCH(B71,SOURCES!$A$4:$A$83,0)),""))</x:f>
      </x:c>
      <x:c r="L71" s="119"/>
      <x:c r="M71" s="119"/>
      <x:c r="N71" s="119"/>
      <x:c r="O71" s="119"/>
      <x:c r="P71" s="126" t="str">
        <x:f>IF(G71="","",IF(I71="Direct Quote",IF(H71="","ACTION NEEDED","OK"),"N/A"))</x:f>
      </x:c>
      <x:c r="Q71" s="126" t="str">
        <x:f>IF(G71="","",IF(OR(B71="",D71="",I71="",J71=""),"ACTION NEEDED",IF(P71="ACTION NEEDED","ACTION NEEDED","OK")))</x:f>
      </x:c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126" t="str">
        <x:f>IF(G72="","","F"&amp;TEXT(ROW()-3,"000"))</x:f>
      </x:c>
      <x:c r="B72" s="119"/>
      <x:c r="C72" s="126" t="str">
        <x:f>IF(B72="","",IFERROR(INDEX(SOURCES!$C$4:$C$83,MATCH(B72,SOURCES!$A$4:$A$83,0))&amp;IF(INDEX(SOURCES!$D$4:$D$83,MATCH(B72,SOURCES!$A$4:$A$83,0))="",""," ("&amp;INDEX(SOURCES!$D$4:$D$83,MATCH(B72,SOURCES!$A$4:$A$83,0))&amp;")"),"Unknown source"))</x:f>
      </x:c>
      <x:c r="D72" s="119"/>
      <x:c r="E72" s="126" t="str">
        <x:f>IF(D72="","",IFERROR(INDEX(THEMES!$B$4:$B$15,MATCH(D72,THEMES!$A$4:$A$15,0)),"Unknown theme"))</x:f>
      </x:c>
      <x:c r="F72" s="119"/>
      <x:c r="G72" s="119"/>
      <x:c r="H72" s="119"/>
      <x:c r="I72" s="119"/>
      <x:c r="J72" s="119"/>
      <x:c r="K72" s="126" t="str">
        <x:f>IF(B72="","",IFERROR(INDEX(SOURCES!$K$4:$K$83,MATCH(B72,SOURCES!$A$4:$A$83,0)),""))</x:f>
      </x:c>
      <x:c r="L72" s="119"/>
      <x:c r="M72" s="119"/>
      <x:c r="N72" s="119"/>
      <x:c r="O72" s="119"/>
      <x:c r="P72" s="126" t="str">
        <x:f>IF(G72="","",IF(I72="Direct Quote",IF(H72="","ACTION NEEDED","OK"),"N/A"))</x:f>
      </x:c>
      <x:c r="Q72" s="126" t="str">
        <x:f>IF(G72="","",IF(OR(B72="",D72="",I72="",J72=""),"ACTION NEEDED",IF(P72="ACTION NEEDED","ACTION NEEDED","OK")))</x:f>
      </x:c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126" t="str">
        <x:f>IF(G73="","","F"&amp;TEXT(ROW()-3,"000"))</x:f>
      </x:c>
      <x:c r="B73" s="119"/>
      <x:c r="C73" s="126" t="str">
        <x:f>IF(B73="","",IFERROR(INDEX(SOURCES!$C$4:$C$83,MATCH(B73,SOURCES!$A$4:$A$83,0))&amp;IF(INDEX(SOURCES!$D$4:$D$83,MATCH(B73,SOURCES!$A$4:$A$83,0))="",""," ("&amp;INDEX(SOURCES!$D$4:$D$83,MATCH(B73,SOURCES!$A$4:$A$83,0))&amp;")"),"Unknown source"))</x:f>
      </x:c>
      <x:c r="D73" s="119"/>
      <x:c r="E73" s="126" t="str">
        <x:f>IF(D73="","",IFERROR(INDEX(THEMES!$B$4:$B$15,MATCH(D73,THEMES!$A$4:$A$15,0)),"Unknown theme"))</x:f>
      </x:c>
      <x:c r="F73" s="119"/>
      <x:c r="G73" s="119"/>
      <x:c r="H73" s="119"/>
      <x:c r="I73" s="119"/>
      <x:c r="J73" s="119"/>
      <x:c r="K73" s="126" t="str">
        <x:f>IF(B73="","",IFERROR(INDEX(SOURCES!$K$4:$K$83,MATCH(B73,SOURCES!$A$4:$A$83,0)),""))</x:f>
      </x:c>
      <x:c r="L73" s="119"/>
      <x:c r="M73" s="119"/>
      <x:c r="N73" s="119"/>
      <x:c r="O73" s="119"/>
      <x:c r="P73" s="126" t="str">
        <x:f>IF(G73="","",IF(I73="Direct Quote",IF(H73="","ACTION NEEDED","OK"),"N/A"))</x:f>
      </x:c>
      <x:c r="Q73" s="126" t="str">
        <x:f>IF(G73="","",IF(OR(B73="",D73="",I73="",J73=""),"ACTION NEEDED",IF(P73="ACTION NEEDED","ACTION NEEDED","OK")))</x:f>
      </x:c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126" t="str">
        <x:f>IF(G74="","","F"&amp;TEXT(ROW()-3,"000"))</x:f>
      </x:c>
      <x:c r="B74" s="119"/>
      <x:c r="C74" s="126" t="str">
        <x:f>IF(B74="","",IFERROR(INDEX(SOURCES!$C$4:$C$83,MATCH(B74,SOURCES!$A$4:$A$83,0))&amp;IF(INDEX(SOURCES!$D$4:$D$83,MATCH(B74,SOURCES!$A$4:$A$83,0))="",""," ("&amp;INDEX(SOURCES!$D$4:$D$83,MATCH(B74,SOURCES!$A$4:$A$83,0))&amp;")"),"Unknown source"))</x:f>
      </x:c>
      <x:c r="D74" s="119"/>
      <x:c r="E74" s="126" t="str">
        <x:f>IF(D74="","",IFERROR(INDEX(THEMES!$B$4:$B$15,MATCH(D74,THEMES!$A$4:$A$15,0)),"Unknown theme"))</x:f>
      </x:c>
      <x:c r="F74" s="119"/>
      <x:c r="G74" s="119"/>
      <x:c r="H74" s="119"/>
      <x:c r="I74" s="119"/>
      <x:c r="J74" s="119"/>
      <x:c r="K74" s="126" t="str">
        <x:f>IF(B74="","",IFERROR(INDEX(SOURCES!$K$4:$K$83,MATCH(B74,SOURCES!$A$4:$A$83,0)),""))</x:f>
      </x:c>
      <x:c r="L74" s="119"/>
      <x:c r="M74" s="119"/>
      <x:c r="N74" s="119"/>
      <x:c r="O74" s="119"/>
      <x:c r="P74" s="126" t="str">
        <x:f>IF(G74="","",IF(I74="Direct Quote",IF(H74="","ACTION NEEDED","OK"),"N/A"))</x:f>
      </x:c>
      <x:c r="Q74" s="126" t="str">
        <x:f>IF(G74="","",IF(OR(B74="",D74="",I74="",J74=""),"ACTION NEEDED",IF(P74="ACTION NEEDED","ACTION NEEDED","OK")))</x:f>
      </x:c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126" t="str">
        <x:f>IF(G75="","","F"&amp;TEXT(ROW()-3,"000"))</x:f>
      </x:c>
      <x:c r="B75" s="119"/>
      <x:c r="C75" s="126" t="str">
        <x:f>IF(B75="","",IFERROR(INDEX(SOURCES!$C$4:$C$83,MATCH(B75,SOURCES!$A$4:$A$83,0))&amp;IF(INDEX(SOURCES!$D$4:$D$83,MATCH(B75,SOURCES!$A$4:$A$83,0))="",""," ("&amp;INDEX(SOURCES!$D$4:$D$83,MATCH(B75,SOURCES!$A$4:$A$83,0))&amp;")"),"Unknown source"))</x:f>
      </x:c>
      <x:c r="D75" s="119"/>
      <x:c r="E75" s="126" t="str">
        <x:f>IF(D75="","",IFERROR(INDEX(THEMES!$B$4:$B$15,MATCH(D75,THEMES!$A$4:$A$15,0)),"Unknown theme"))</x:f>
      </x:c>
      <x:c r="F75" s="119"/>
      <x:c r="G75" s="119"/>
      <x:c r="H75" s="119"/>
      <x:c r="I75" s="119"/>
      <x:c r="J75" s="119"/>
      <x:c r="K75" s="126" t="str">
        <x:f>IF(B75="","",IFERROR(INDEX(SOURCES!$K$4:$K$83,MATCH(B75,SOURCES!$A$4:$A$83,0)),""))</x:f>
      </x:c>
      <x:c r="L75" s="119"/>
      <x:c r="M75" s="119"/>
      <x:c r="N75" s="119"/>
      <x:c r="O75" s="119"/>
      <x:c r="P75" s="126" t="str">
        <x:f>IF(G75="","",IF(I75="Direct Quote",IF(H75="","ACTION NEEDED","OK"),"N/A"))</x:f>
      </x:c>
      <x:c r="Q75" s="126" t="str">
        <x:f>IF(G75="","",IF(OR(B75="",D75="",I75="",J75=""),"ACTION NEEDED",IF(P75="ACTION NEEDED","ACTION NEEDED","OK")))</x:f>
      </x:c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126" t="str">
        <x:f>IF(G76="","","F"&amp;TEXT(ROW()-3,"000"))</x:f>
      </x:c>
      <x:c r="B76" s="119"/>
      <x:c r="C76" s="126" t="str">
        <x:f>IF(B76="","",IFERROR(INDEX(SOURCES!$C$4:$C$83,MATCH(B76,SOURCES!$A$4:$A$83,0))&amp;IF(INDEX(SOURCES!$D$4:$D$83,MATCH(B76,SOURCES!$A$4:$A$83,0))="",""," ("&amp;INDEX(SOURCES!$D$4:$D$83,MATCH(B76,SOURCES!$A$4:$A$83,0))&amp;")"),"Unknown source"))</x:f>
      </x:c>
      <x:c r="D76" s="119"/>
      <x:c r="E76" s="126" t="str">
        <x:f>IF(D76="","",IFERROR(INDEX(THEMES!$B$4:$B$15,MATCH(D76,THEMES!$A$4:$A$15,0)),"Unknown theme"))</x:f>
      </x:c>
      <x:c r="F76" s="119"/>
      <x:c r="G76" s="119"/>
      <x:c r="H76" s="119"/>
      <x:c r="I76" s="119"/>
      <x:c r="J76" s="119"/>
      <x:c r="K76" s="126" t="str">
        <x:f>IF(B76="","",IFERROR(INDEX(SOURCES!$K$4:$K$83,MATCH(B76,SOURCES!$A$4:$A$83,0)),""))</x:f>
      </x:c>
      <x:c r="L76" s="119"/>
      <x:c r="M76" s="119"/>
      <x:c r="N76" s="119"/>
      <x:c r="O76" s="119"/>
      <x:c r="P76" s="126" t="str">
        <x:f>IF(G76="","",IF(I76="Direct Quote",IF(H76="","ACTION NEEDED","OK"),"N/A"))</x:f>
      </x:c>
      <x:c r="Q76" s="126" t="str">
        <x:f>IF(G76="","",IF(OR(B76="",D76="",I76="",J76=""),"ACTION NEEDED",IF(P76="ACTION NEEDED","ACTION NEEDED","OK")))</x:f>
      </x:c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126" t="str">
        <x:f>IF(G77="","","F"&amp;TEXT(ROW()-3,"000"))</x:f>
      </x:c>
      <x:c r="B77" s="119"/>
      <x:c r="C77" s="126" t="str">
        <x:f>IF(B77="","",IFERROR(INDEX(SOURCES!$C$4:$C$83,MATCH(B77,SOURCES!$A$4:$A$83,0))&amp;IF(INDEX(SOURCES!$D$4:$D$83,MATCH(B77,SOURCES!$A$4:$A$83,0))="",""," ("&amp;INDEX(SOURCES!$D$4:$D$83,MATCH(B77,SOURCES!$A$4:$A$83,0))&amp;")"),"Unknown source"))</x:f>
      </x:c>
      <x:c r="D77" s="119"/>
      <x:c r="E77" s="126" t="str">
        <x:f>IF(D77="","",IFERROR(INDEX(THEMES!$B$4:$B$15,MATCH(D77,THEMES!$A$4:$A$15,0)),"Unknown theme"))</x:f>
      </x:c>
      <x:c r="F77" s="119"/>
      <x:c r="G77" s="119"/>
      <x:c r="H77" s="119"/>
      <x:c r="I77" s="119"/>
      <x:c r="J77" s="119"/>
      <x:c r="K77" s="126" t="str">
        <x:f>IF(B77="","",IFERROR(INDEX(SOURCES!$K$4:$K$83,MATCH(B77,SOURCES!$A$4:$A$83,0)),""))</x:f>
      </x:c>
      <x:c r="L77" s="119"/>
      <x:c r="M77" s="119"/>
      <x:c r="N77" s="119"/>
      <x:c r="O77" s="119"/>
      <x:c r="P77" s="126" t="str">
        <x:f>IF(G77="","",IF(I77="Direct Quote",IF(H77="","ACTION NEEDED","OK"),"N/A"))</x:f>
      </x:c>
      <x:c r="Q77" s="126" t="str">
        <x:f>IF(G77="","",IF(OR(B77="",D77="",I77="",J77=""),"ACTION NEEDED",IF(P77="ACTION NEEDED","ACTION NEEDED","OK")))</x:f>
      </x:c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126" t="str">
        <x:f>IF(G78="","","F"&amp;TEXT(ROW()-3,"000"))</x:f>
      </x:c>
      <x:c r="B78" s="119"/>
      <x:c r="C78" s="126" t="str">
        <x:f>IF(B78="","",IFERROR(INDEX(SOURCES!$C$4:$C$83,MATCH(B78,SOURCES!$A$4:$A$83,0))&amp;IF(INDEX(SOURCES!$D$4:$D$83,MATCH(B78,SOURCES!$A$4:$A$83,0))="",""," ("&amp;INDEX(SOURCES!$D$4:$D$83,MATCH(B78,SOURCES!$A$4:$A$83,0))&amp;")"),"Unknown source"))</x:f>
      </x:c>
      <x:c r="D78" s="119"/>
      <x:c r="E78" s="126" t="str">
        <x:f>IF(D78="","",IFERROR(INDEX(THEMES!$B$4:$B$15,MATCH(D78,THEMES!$A$4:$A$15,0)),"Unknown theme"))</x:f>
      </x:c>
      <x:c r="F78" s="119"/>
      <x:c r="G78" s="119"/>
      <x:c r="H78" s="119"/>
      <x:c r="I78" s="119"/>
      <x:c r="J78" s="119"/>
      <x:c r="K78" s="126" t="str">
        <x:f>IF(B78="","",IFERROR(INDEX(SOURCES!$K$4:$K$83,MATCH(B78,SOURCES!$A$4:$A$83,0)),""))</x:f>
      </x:c>
      <x:c r="L78" s="119"/>
      <x:c r="M78" s="119"/>
      <x:c r="N78" s="119"/>
      <x:c r="O78" s="119"/>
      <x:c r="P78" s="126" t="str">
        <x:f>IF(G78="","",IF(I78="Direct Quote",IF(H78="","ACTION NEEDED","OK"),"N/A"))</x:f>
      </x:c>
      <x:c r="Q78" s="126" t="str">
        <x:f>IF(G78="","",IF(OR(B78="",D78="",I78="",J78=""),"ACTION NEEDED",IF(P78="ACTION NEEDED","ACTION NEEDED","OK")))</x:f>
      </x:c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126" t="str">
        <x:f>IF(G79="","","F"&amp;TEXT(ROW()-3,"000"))</x:f>
      </x:c>
      <x:c r="B79" s="119"/>
      <x:c r="C79" s="126" t="str">
        <x:f>IF(B79="","",IFERROR(INDEX(SOURCES!$C$4:$C$83,MATCH(B79,SOURCES!$A$4:$A$83,0))&amp;IF(INDEX(SOURCES!$D$4:$D$83,MATCH(B79,SOURCES!$A$4:$A$83,0))="",""," ("&amp;INDEX(SOURCES!$D$4:$D$83,MATCH(B79,SOURCES!$A$4:$A$83,0))&amp;")"),"Unknown source"))</x:f>
      </x:c>
      <x:c r="D79" s="119"/>
      <x:c r="E79" s="126" t="str">
        <x:f>IF(D79="","",IFERROR(INDEX(THEMES!$B$4:$B$15,MATCH(D79,THEMES!$A$4:$A$15,0)),"Unknown theme"))</x:f>
      </x:c>
      <x:c r="F79" s="119"/>
      <x:c r="G79" s="119"/>
      <x:c r="H79" s="119"/>
      <x:c r="I79" s="119"/>
      <x:c r="J79" s="119"/>
      <x:c r="K79" s="126" t="str">
        <x:f>IF(B79="","",IFERROR(INDEX(SOURCES!$K$4:$K$83,MATCH(B79,SOURCES!$A$4:$A$83,0)),""))</x:f>
      </x:c>
      <x:c r="L79" s="119"/>
      <x:c r="M79" s="119"/>
      <x:c r="N79" s="119"/>
      <x:c r="O79" s="119"/>
      <x:c r="P79" s="126" t="str">
        <x:f>IF(G79="","",IF(I79="Direct Quote",IF(H79="","ACTION NEEDED","OK"),"N/A"))</x:f>
      </x:c>
      <x:c r="Q79" s="126" t="str">
        <x:f>IF(G79="","",IF(OR(B79="",D79="",I79="",J79=""),"ACTION NEEDED",IF(P79="ACTION NEEDED","ACTION NEEDED","OK")))</x:f>
      </x:c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126" t="str">
        <x:f>IF(G80="","","F"&amp;TEXT(ROW()-3,"000"))</x:f>
      </x:c>
      <x:c r="B80" s="119"/>
      <x:c r="C80" s="126" t="str">
        <x:f>IF(B80="","",IFERROR(INDEX(SOURCES!$C$4:$C$83,MATCH(B80,SOURCES!$A$4:$A$83,0))&amp;IF(INDEX(SOURCES!$D$4:$D$83,MATCH(B80,SOURCES!$A$4:$A$83,0))="",""," ("&amp;INDEX(SOURCES!$D$4:$D$83,MATCH(B80,SOURCES!$A$4:$A$83,0))&amp;")"),"Unknown source"))</x:f>
      </x:c>
      <x:c r="D80" s="119"/>
      <x:c r="E80" s="126" t="str">
        <x:f>IF(D80="","",IFERROR(INDEX(THEMES!$B$4:$B$15,MATCH(D80,THEMES!$A$4:$A$15,0)),"Unknown theme"))</x:f>
      </x:c>
      <x:c r="F80" s="119"/>
      <x:c r="G80" s="119"/>
      <x:c r="H80" s="119"/>
      <x:c r="I80" s="119"/>
      <x:c r="J80" s="119"/>
      <x:c r="K80" s="126" t="str">
        <x:f>IF(B80="","",IFERROR(INDEX(SOURCES!$K$4:$K$83,MATCH(B80,SOURCES!$A$4:$A$83,0)),""))</x:f>
      </x:c>
      <x:c r="L80" s="119"/>
      <x:c r="M80" s="119"/>
      <x:c r="N80" s="119"/>
      <x:c r="O80" s="119"/>
      <x:c r="P80" s="126" t="str">
        <x:f>IF(G80="","",IF(I80="Direct Quote",IF(H80="","ACTION NEEDED","OK"),"N/A"))</x:f>
      </x:c>
      <x:c r="Q80" s="126" t="str">
        <x:f>IF(G80="","",IF(OR(B80="",D80="",I80="",J80=""),"ACTION NEEDED",IF(P80="ACTION NEEDED","ACTION NEEDED","OK")))</x:f>
      </x:c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126" t="str">
        <x:f>IF(G81="","","F"&amp;TEXT(ROW()-3,"000"))</x:f>
      </x:c>
      <x:c r="B81" s="119"/>
      <x:c r="C81" s="126" t="str">
        <x:f>IF(B81="","",IFERROR(INDEX(SOURCES!$C$4:$C$83,MATCH(B81,SOURCES!$A$4:$A$83,0))&amp;IF(INDEX(SOURCES!$D$4:$D$83,MATCH(B81,SOURCES!$A$4:$A$83,0))="",""," ("&amp;INDEX(SOURCES!$D$4:$D$83,MATCH(B81,SOURCES!$A$4:$A$83,0))&amp;")"),"Unknown source"))</x:f>
      </x:c>
      <x:c r="D81" s="119"/>
      <x:c r="E81" s="126" t="str">
        <x:f>IF(D81="","",IFERROR(INDEX(THEMES!$B$4:$B$15,MATCH(D81,THEMES!$A$4:$A$15,0)),"Unknown theme"))</x:f>
      </x:c>
      <x:c r="F81" s="119"/>
      <x:c r="G81" s="119"/>
      <x:c r="H81" s="119"/>
      <x:c r="I81" s="119"/>
      <x:c r="J81" s="119"/>
      <x:c r="K81" s="126" t="str">
        <x:f>IF(B81="","",IFERROR(INDEX(SOURCES!$K$4:$K$83,MATCH(B81,SOURCES!$A$4:$A$83,0)),""))</x:f>
      </x:c>
      <x:c r="L81" s="119"/>
      <x:c r="M81" s="119"/>
      <x:c r="N81" s="119"/>
      <x:c r="O81" s="119"/>
      <x:c r="P81" s="126" t="str">
        <x:f>IF(G81="","",IF(I81="Direct Quote",IF(H81="","ACTION NEEDED","OK"),"N/A"))</x:f>
      </x:c>
      <x:c r="Q81" s="126" t="str">
        <x:f>IF(G81="","",IF(OR(B81="",D81="",I81="",J81=""),"ACTION NEEDED",IF(P81="ACTION NEEDED","ACTION NEEDED","OK")))</x:f>
      </x:c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126" t="str">
        <x:f>IF(G82="","","F"&amp;TEXT(ROW()-3,"000"))</x:f>
      </x:c>
      <x:c r="B82" s="119"/>
      <x:c r="C82" s="126" t="str">
        <x:f>IF(B82="","",IFERROR(INDEX(SOURCES!$C$4:$C$83,MATCH(B82,SOURCES!$A$4:$A$83,0))&amp;IF(INDEX(SOURCES!$D$4:$D$83,MATCH(B82,SOURCES!$A$4:$A$83,0))="",""," ("&amp;INDEX(SOURCES!$D$4:$D$83,MATCH(B82,SOURCES!$A$4:$A$83,0))&amp;")"),"Unknown source"))</x:f>
      </x:c>
      <x:c r="D82" s="119"/>
      <x:c r="E82" s="126" t="str">
        <x:f>IF(D82="","",IFERROR(INDEX(THEMES!$B$4:$B$15,MATCH(D82,THEMES!$A$4:$A$15,0)),"Unknown theme"))</x:f>
      </x:c>
      <x:c r="F82" s="119"/>
      <x:c r="G82" s="119"/>
      <x:c r="H82" s="119"/>
      <x:c r="I82" s="119"/>
      <x:c r="J82" s="119"/>
      <x:c r="K82" s="126" t="str">
        <x:f>IF(B82="","",IFERROR(INDEX(SOURCES!$K$4:$K$83,MATCH(B82,SOURCES!$A$4:$A$83,0)),""))</x:f>
      </x:c>
      <x:c r="L82" s="119"/>
      <x:c r="M82" s="119"/>
      <x:c r="N82" s="119"/>
      <x:c r="O82" s="119"/>
      <x:c r="P82" s="126" t="str">
        <x:f>IF(G82="","",IF(I82="Direct Quote",IF(H82="","ACTION NEEDED","OK"),"N/A"))</x:f>
      </x:c>
      <x:c r="Q82" s="126" t="str">
        <x:f>IF(G82="","",IF(OR(B82="",D82="",I82="",J82=""),"ACTION NEEDED",IF(P82="ACTION NEEDED","ACTION NEEDED","OK")))</x:f>
      </x:c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126" t="str">
        <x:f>IF(G83="","","F"&amp;TEXT(ROW()-3,"000"))</x:f>
      </x:c>
      <x:c r="B83" s="119"/>
      <x:c r="C83" s="126" t="str">
        <x:f>IF(B83="","",IFERROR(INDEX(SOURCES!$C$4:$C$83,MATCH(B83,SOURCES!$A$4:$A$83,0))&amp;IF(INDEX(SOURCES!$D$4:$D$83,MATCH(B83,SOURCES!$A$4:$A$83,0))="",""," ("&amp;INDEX(SOURCES!$D$4:$D$83,MATCH(B83,SOURCES!$A$4:$A$83,0))&amp;")"),"Unknown source"))</x:f>
      </x:c>
      <x:c r="D83" s="119"/>
      <x:c r="E83" s="126" t="str">
        <x:f>IF(D83="","",IFERROR(INDEX(THEMES!$B$4:$B$15,MATCH(D83,THEMES!$A$4:$A$15,0)),"Unknown theme"))</x:f>
      </x:c>
      <x:c r="F83" s="119"/>
      <x:c r="G83" s="119"/>
      <x:c r="H83" s="119"/>
      <x:c r="I83" s="119"/>
      <x:c r="J83" s="119"/>
      <x:c r="K83" s="126" t="str">
        <x:f>IF(B83="","",IFERROR(INDEX(SOURCES!$K$4:$K$83,MATCH(B83,SOURCES!$A$4:$A$83,0)),""))</x:f>
      </x:c>
      <x:c r="L83" s="119"/>
      <x:c r="M83" s="119"/>
      <x:c r="N83" s="119"/>
      <x:c r="O83" s="119"/>
      <x:c r="P83" s="126" t="str">
        <x:f>IF(G83="","",IF(I83="Direct Quote",IF(H83="","ACTION NEEDED","OK"),"N/A"))</x:f>
      </x:c>
      <x:c r="Q83" s="126" t="str">
        <x:f>IF(G83="","",IF(OR(B83="",D83="",I83="",J83=""),"ACTION NEEDED",IF(P83="ACTION NEEDED","ACTION NEEDED","OK")))</x:f>
      </x:c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126" t="str">
        <x:f>IF(G84="","","F"&amp;TEXT(ROW()-3,"000"))</x:f>
      </x:c>
      <x:c r="B84" s="119"/>
      <x:c r="C84" s="126" t="str">
        <x:f>IF(B84="","",IFERROR(INDEX(SOURCES!$C$4:$C$83,MATCH(B84,SOURCES!$A$4:$A$83,0))&amp;IF(INDEX(SOURCES!$D$4:$D$83,MATCH(B84,SOURCES!$A$4:$A$83,0))="",""," ("&amp;INDEX(SOURCES!$D$4:$D$83,MATCH(B84,SOURCES!$A$4:$A$83,0))&amp;")"),"Unknown source"))</x:f>
      </x:c>
      <x:c r="D84" s="119"/>
      <x:c r="E84" s="126" t="str">
        <x:f>IF(D84="","",IFERROR(INDEX(THEMES!$B$4:$B$15,MATCH(D84,THEMES!$A$4:$A$15,0)),"Unknown theme"))</x:f>
      </x:c>
      <x:c r="F84" s="119"/>
      <x:c r="G84" s="119"/>
      <x:c r="H84" s="119"/>
      <x:c r="I84" s="119"/>
      <x:c r="J84" s="119"/>
      <x:c r="K84" s="126" t="str">
        <x:f>IF(B84="","",IFERROR(INDEX(SOURCES!$K$4:$K$83,MATCH(B84,SOURCES!$A$4:$A$83,0)),""))</x:f>
      </x:c>
      <x:c r="L84" s="119"/>
      <x:c r="M84" s="119"/>
      <x:c r="N84" s="119"/>
      <x:c r="O84" s="119"/>
      <x:c r="P84" s="126" t="str">
        <x:f>IF(G84="","",IF(I84="Direct Quote",IF(H84="","ACTION NEEDED","OK"),"N/A"))</x:f>
      </x:c>
      <x:c r="Q84" s="126" t="str">
        <x:f>IF(G84="","",IF(OR(B84="",D84="",I84="",J84=""),"ACTION NEEDED",IF(P84="ACTION NEEDED","ACTION NEEDED","OK")))</x:f>
      </x:c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126" t="str">
        <x:f>IF(G85="","","F"&amp;TEXT(ROW()-3,"000"))</x:f>
      </x:c>
      <x:c r="B85" s="119"/>
      <x:c r="C85" s="126" t="str">
        <x:f>IF(B85="","",IFERROR(INDEX(SOURCES!$C$4:$C$83,MATCH(B85,SOURCES!$A$4:$A$83,0))&amp;IF(INDEX(SOURCES!$D$4:$D$83,MATCH(B85,SOURCES!$A$4:$A$83,0))="",""," ("&amp;INDEX(SOURCES!$D$4:$D$83,MATCH(B85,SOURCES!$A$4:$A$83,0))&amp;")"),"Unknown source"))</x:f>
      </x:c>
      <x:c r="D85" s="119"/>
      <x:c r="E85" s="126" t="str">
        <x:f>IF(D85="","",IFERROR(INDEX(THEMES!$B$4:$B$15,MATCH(D85,THEMES!$A$4:$A$15,0)),"Unknown theme"))</x:f>
      </x:c>
      <x:c r="F85" s="119"/>
      <x:c r="G85" s="119"/>
      <x:c r="H85" s="119"/>
      <x:c r="I85" s="119"/>
      <x:c r="J85" s="119"/>
      <x:c r="K85" s="126" t="str">
        <x:f>IF(B85="","",IFERROR(INDEX(SOURCES!$K$4:$K$83,MATCH(B85,SOURCES!$A$4:$A$83,0)),""))</x:f>
      </x:c>
      <x:c r="L85" s="119"/>
      <x:c r="M85" s="119"/>
      <x:c r="N85" s="119"/>
      <x:c r="O85" s="119"/>
      <x:c r="P85" s="126" t="str">
        <x:f>IF(G85="","",IF(I85="Direct Quote",IF(H85="","ACTION NEEDED","OK"),"N/A"))</x:f>
      </x:c>
      <x:c r="Q85" s="126" t="str">
        <x:f>IF(G85="","",IF(OR(B85="",D85="",I85="",J85=""),"ACTION NEEDED",IF(P85="ACTION NEEDED","ACTION NEEDED","OK")))</x:f>
      </x:c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126" t="str">
        <x:f>IF(G86="","","F"&amp;TEXT(ROW()-3,"000"))</x:f>
      </x:c>
      <x:c r="B86" s="119"/>
      <x:c r="C86" s="126" t="str">
        <x:f>IF(B86="","",IFERROR(INDEX(SOURCES!$C$4:$C$83,MATCH(B86,SOURCES!$A$4:$A$83,0))&amp;IF(INDEX(SOURCES!$D$4:$D$83,MATCH(B86,SOURCES!$A$4:$A$83,0))="",""," ("&amp;INDEX(SOURCES!$D$4:$D$83,MATCH(B86,SOURCES!$A$4:$A$83,0))&amp;")"),"Unknown source"))</x:f>
      </x:c>
      <x:c r="D86" s="119"/>
      <x:c r="E86" s="126" t="str">
        <x:f>IF(D86="","",IFERROR(INDEX(THEMES!$B$4:$B$15,MATCH(D86,THEMES!$A$4:$A$15,0)),"Unknown theme"))</x:f>
      </x:c>
      <x:c r="F86" s="119"/>
      <x:c r="G86" s="119"/>
      <x:c r="H86" s="119"/>
      <x:c r="I86" s="119"/>
      <x:c r="J86" s="119"/>
      <x:c r="K86" s="126" t="str">
        <x:f>IF(B86="","",IFERROR(INDEX(SOURCES!$K$4:$K$83,MATCH(B86,SOURCES!$A$4:$A$83,0)),""))</x:f>
      </x:c>
      <x:c r="L86" s="119"/>
      <x:c r="M86" s="119"/>
      <x:c r="N86" s="119"/>
      <x:c r="O86" s="119"/>
      <x:c r="P86" s="126" t="str">
        <x:f>IF(G86="","",IF(I86="Direct Quote",IF(H86="","ACTION NEEDED","OK"),"N/A"))</x:f>
      </x:c>
      <x:c r="Q86" s="126" t="str">
        <x:f>IF(G86="","",IF(OR(B86="",D86="",I86="",J86=""),"ACTION NEEDED",IF(P86="ACTION NEEDED","ACTION NEEDED","OK")))</x:f>
      </x:c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126" t="str">
        <x:f>IF(G87="","","F"&amp;TEXT(ROW()-3,"000"))</x:f>
      </x:c>
      <x:c r="B87" s="119"/>
      <x:c r="C87" s="126" t="str">
        <x:f>IF(B87="","",IFERROR(INDEX(SOURCES!$C$4:$C$83,MATCH(B87,SOURCES!$A$4:$A$83,0))&amp;IF(INDEX(SOURCES!$D$4:$D$83,MATCH(B87,SOURCES!$A$4:$A$83,0))="",""," ("&amp;INDEX(SOURCES!$D$4:$D$83,MATCH(B87,SOURCES!$A$4:$A$83,0))&amp;")"),"Unknown source"))</x:f>
      </x:c>
      <x:c r="D87" s="119"/>
      <x:c r="E87" s="126" t="str">
        <x:f>IF(D87="","",IFERROR(INDEX(THEMES!$B$4:$B$15,MATCH(D87,THEMES!$A$4:$A$15,0)),"Unknown theme"))</x:f>
      </x:c>
      <x:c r="F87" s="119"/>
      <x:c r="G87" s="119"/>
      <x:c r="H87" s="119"/>
      <x:c r="I87" s="119"/>
      <x:c r="J87" s="119"/>
      <x:c r="K87" s="126" t="str">
        <x:f>IF(B87="","",IFERROR(INDEX(SOURCES!$K$4:$K$83,MATCH(B87,SOURCES!$A$4:$A$83,0)),""))</x:f>
      </x:c>
      <x:c r="L87" s="119"/>
      <x:c r="M87" s="119"/>
      <x:c r="N87" s="119"/>
      <x:c r="O87" s="119"/>
      <x:c r="P87" s="126" t="str">
        <x:f>IF(G87="","",IF(I87="Direct Quote",IF(H87="","ACTION NEEDED","OK"),"N/A"))</x:f>
      </x:c>
      <x:c r="Q87" s="126" t="str">
        <x:f>IF(G87="","",IF(OR(B87="",D87="",I87="",J87=""),"ACTION NEEDED",IF(P87="ACTION NEEDED","ACTION NEEDED","OK")))</x:f>
      </x:c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126" t="str">
        <x:f>IF(G88="","","F"&amp;TEXT(ROW()-3,"000"))</x:f>
      </x:c>
      <x:c r="B88" s="119"/>
      <x:c r="C88" s="126" t="str">
        <x:f>IF(B88="","",IFERROR(INDEX(SOURCES!$C$4:$C$83,MATCH(B88,SOURCES!$A$4:$A$83,0))&amp;IF(INDEX(SOURCES!$D$4:$D$83,MATCH(B88,SOURCES!$A$4:$A$83,0))="",""," ("&amp;INDEX(SOURCES!$D$4:$D$83,MATCH(B88,SOURCES!$A$4:$A$83,0))&amp;")"),"Unknown source"))</x:f>
      </x:c>
      <x:c r="D88" s="119"/>
      <x:c r="E88" s="126" t="str">
        <x:f>IF(D88="","",IFERROR(INDEX(THEMES!$B$4:$B$15,MATCH(D88,THEMES!$A$4:$A$15,0)),"Unknown theme"))</x:f>
      </x:c>
      <x:c r="F88" s="119"/>
      <x:c r="G88" s="119"/>
      <x:c r="H88" s="119"/>
      <x:c r="I88" s="119"/>
      <x:c r="J88" s="119"/>
      <x:c r="K88" s="126" t="str">
        <x:f>IF(B88="","",IFERROR(INDEX(SOURCES!$K$4:$K$83,MATCH(B88,SOURCES!$A$4:$A$83,0)),""))</x:f>
      </x:c>
      <x:c r="L88" s="119"/>
      <x:c r="M88" s="119"/>
      <x:c r="N88" s="119"/>
      <x:c r="O88" s="119"/>
      <x:c r="P88" s="126" t="str">
        <x:f>IF(G88="","",IF(I88="Direct Quote",IF(H88="","ACTION NEEDED","OK"),"N/A"))</x:f>
      </x:c>
      <x:c r="Q88" s="126" t="str">
        <x:f>IF(G88="","",IF(OR(B88="",D88="",I88="",J88=""),"ACTION NEEDED",IF(P88="ACTION NEEDED","ACTION NEEDED","OK")))</x:f>
      </x:c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126" t="str">
        <x:f>IF(G89="","","F"&amp;TEXT(ROW()-3,"000"))</x:f>
      </x:c>
      <x:c r="B89" s="119"/>
      <x:c r="C89" s="126" t="str">
        <x:f>IF(B89="","",IFERROR(INDEX(SOURCES!$C$4:$C$83,MATCH(B89,SOURCES!$A$4:$A$83,0))&amp;IF(INDEX(SOURCES!$D$4:$D$83,MATCH(B89,SOURCES!$A$4:$A$83,0))="",""," ("&amp;INDEX(SOURCES!$D$4:$D$83,MATCH(B89,SOURCES!$A$4:$A$83,0))&amp;")"),"Unknown source"))</x:f>
      </x:c>
      <x:c r="D89" s="119"/>
      <x:c r="E89" s="126" t="str">
        <x:f>IF(D89="","",IFERROR(INDEX(THEMES!$B$4:$B$15,MATCH(D89,THEMES!$A$4:$A$15,0)),"Unknown theme"))</x:f>
      </x:c>
      <x:c r="F89" s="119"/>
      <x:c r="G89" s="119"/>
      <x:c r="H89" s="119"/>
      <x:c r="I89" s="119"/>
      <x:c r="J89" s="119"/>
      <x:c r="K89" s="126" t="str">
        <x:f>IF(B89="","",IFERROR(INDEX(SOURCES!$K$4:$K$83,MATCH(B89,SOURCES!$A$4:$A$83,0)),""))</x:f>
      </x:c>
      <x:c r="L89" s="119"/>
      <x:c r="M89" s="119"/>
      <x:c r="N89" s="119"/>
      <x:c r="O89" s="119"/>
      <x:c r="P89" s="126" t="str">
        <x:f>IF(G89="","",IF(I89="Direct Quote",IF(H89="","ACTION NEEDED","OK"),"N/A"))</x:f>
      </x:c>
      <x:c r="Q89" s="126" t="str">
        <x:f>IF(G89="","",IF(OR(B89="",D89="",I89="",J89=""),"ACTION NEEDED",IF(P89="ACTION NEEDED","ACTION NEEDED","OK")))</x:f>
      </x:c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126" t="str">
        <x:f>IF(G90="","","F"&amp;TEXT(ROW()-3,"000"))</x:f>
      </x:c>
      <x:c r="B90" s="119"/>
      <x:c r="C90" s="126" t="str">
        <x:f>IF(B90="","",IFERROR(INDEX(SOURCES!$C$4:$C$83,MATCH(B90,SOURCES!$A$4:$A$83,0))&amp;IF(INDEX(SOURCES!$D$4:$D$83,MATCH(B90,SOURCES!$A$4:$A$83,0))="",""," ("&amp;INDEX(SOURCES!$D$4:$D$83,MATCH(B90,SOURCES!$A$4:$A$83,0))&amp;")"),"Unknown source"))</x:f>
      </x:c>
      <x:c r="D90" s="119"/>
      <x:c r="E90" s="126" t="str">
        <x:f>IF(D90="","",IFERROR(INDEX(THEMES!$B$4:$B$15,MATCH(D90,THEMES!$A$4:$A$15,0)),"Unknown theme"))</x:f>
      </x:c>
      <x:c r="F90" s="119"/>
      <x:c r="G90" s="119"/>
      <x:c r="H90" s="119"/>
      <x:c r="I90" s="119"/>
      <x:c r="J90" s="119"/>
      <x:c r="K90" s="126" t="str">
        <x:f>IF(B90="","",IFERROR(INDEX(SOURCES!$K$4:$K$83,MATCH(B90,SOURCES!$A$4:$A$83,0)),""))</x:f>
      </x:c>
      <x:c r="L90" s="119"/>
      <x:c r="M90" s="119"/>
      <x:c r="N90" s="119"/>
      <x:c r="O90" s="119"/>
      <x:c r="P90" s="126" t="str">
        <x:f>IF(G90="","",IF(I90="Direct Quote",IF(H90="","ACTION NEEDED","OK"),"N/A"))</x:f>
      </x:c>
      <x:c r="Q90" s="126" t="str">
        <x:f>IF(G90="","",IF(OR(B90="",D90="",I90="",J90=""),"ACTION NEEDED",IF(P90="ACTION NEEDED","ACTION NEEDED","OK")))</x:f>
      </x:c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126" t="str">
        <x:f>IF(G91="","","F"&amp;TEXT(ROW()-3,"000"))</x:f>
      </x:c>
      <x:c r="B91" s="119"/>
      <x:c r="C91" s="126" t="str">
        <x:f>IF(B91="","",IFERROR(INDEX(SOURCES!$C$4:$C$83,MATCH(B91,SOURCES!$A$4:$A$83,0))&amp;IF(INDEX(SOURCES!$D$4:$D$83,MATCH(B91,SOURCES!$A$4:$A$83,0))="",""," ("&amp;INDEX(SOURCES!$D$4:$D$83,MATCH(B91,SOURCES!$A$4:$A$83,0))&amp;")"),"Unknown source"))</x:f>
      </x:c>
      <x:c r="D91" s="119"/>
      <x:c r="E91" s="126" t="str">
        <x:f>IF(D91="","",IFERROR(INDEX(THEMES!$B$4:$B$15,MATCH(D91,THEMES!$A$4:$A$15,0)),"Unknown theme"))</x:f>
      </x:c>
      <x:c r="F91" s="119"/>
      <x:c r="G91" s="119"/>
      <x:c r="H91" s="119"/>
      <x:c r="I91" s="119"/>
      <x:c r="J91" s="119"/>
      <x:c r="K91" s="126" t="str">
        <x:f>IF(B91="","",IFERROR(INDEX(SOURCES!$K$4:$K$83,MATCH(B91,SOURCES!$A$4:$A$83,0)),""))</x:f>
      </x:c>
      <x:c r="L91" s="119"/>
      <x:c r="M91" s="119"/>
      <x:c r="N91" s="119"/>
      <x:c r="O91" s="119"/>
      <x:c r="P91" s="126" t="str">
        <x:f>IF(G91="","",IF(I91="Direct Quote",IF(H91="","ACTION NEEDED","OK"),"N/A"))</x:f>
      </x:c>
      <x:c r="Q91" s="126" t="str">
        <x:f>IF(G91="","",IF(OR(B91="",D91="",I91="",J91=""),"ACTION NEEDED",IF(P91="ACTION NEEDED","ACTION NEEDED","OK")))</x:f>
      </x:c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126" t="str">
        <x:f>IF(G92="","","F"&amp;TEXT(ROW()-3,"000"))</x:f>
      </x:c>
      <x:c r="B92" s="119"/>
      <x:c r="C92" s="126" t="str">
        <x:f>IF(B92="","",IFERROR(INDEX(SOURCES!$C$4:$C$83,MATCH(B92,SOURCES!$A$4:$A$83,0))&amp;IF(INDEX(SOURCES!$D$4:$D$83,MATCH(B92,SOURCES!$A$4:$A$83,0))="",""," ("&amp;INDEX(SOURCES!$D$4:$D$83,MATCH(B92,SOURCES!$A$4:$A$83,0))&amp;")"),"Unknown source"))</x:f>
      </x:c>
      <x:c r="D92" s="119"/>
      <x:c r="E92" s="126" t="str">
        <x:f>IF(D92="","",IFERROR(INDEX(THEMES!$B$4:$B$15,MATCH(D92,THEMES!$A$4:$A$15,0)),"Unknown theme"))</x:f>
      </x:c>
      <x:c r="F92" s="119"/>
      <x:c r="G92" s="119"/>
      <x:c r="H92" s="119"/>
      <x:c r="I92" s="119"/>
      <x:c r="J92" s="119"/>
      <x:c r="K92" s="126" t="str">
        <x:f>IF(B92="","",IFERROR(INDEX(SOURCES!$K$4:$K$83,MATCH(B92,SOURCES!$A$4:$A$83,0)),""))</x:f>
      </x:c>
      <x:c r="L92" s="119"/>
      <x:c r="M92" s="119"/>
      <x:c r="N92" s="119"/>
      <x:c r="O92" s="119"/>
      <x:c r="P92" s="126" t="str">
        <x:f>IF(G92="","",IF(I92="Direct Quote",IF(H92="","ACTION NEEDED","OK"),"N/A"))</x:f>
      </x:c>
      <x:c r="Q92" s="126" t="str">
        <x:f>IF(G92="","",IF(OR(B92="",D92="",I92="",J92=""),"ACTION NEEDED",IF(P92="ACTION NEEDED","ACTION NEEDED","OK")))</x:f>
      </x:c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126" t="str">
        <x:f>IF(G93="","","F"&amp;TEXT(ROW()-3,"000"))</x:f>
      </x:c>
      <x:c r="B93" s="119"/>
      <x:c r="C93" s="126" t="str">
        <x:f>IF(B93="","",IFERROR(INDEX(SOURCES!$C$4:$C$83,MATCH(B93,SOURCES!$A$4:$A$83,0))&amp;IF(INDEX(SOURCES!$D$4:$D$83,MATCH(B93,SOURCES!$A$4:$A$83,0))="",""," ("&amp;INDEX(SOURCES!$D$4:$D$83,MATCH(B93,SOURCES!$A$4:$A$83,0))&amp;")"),"Unknown source"))</x:f>
      </x:c>
      <x:c r="D93" s="119"/>
      <x:c r="E93" s="126" t="str">
        <x:f>IF(D93="","",IFERROR(INDEX(THEMES!$B$4:$B$15,MATCH(D93,THEMES!$A$4:$A$15,0)),"Unknown theme"))</x:f>
      </x:c>
      <x:c r="F93" s="119"/>
      <x:c r="G93" s="119"/>
      <x:c r="H93" s="119"/>
      <x:c r="I93" s="119"/>
      <x:c r="J93" s="119"/>
      <x:c r="K93" s="126" t="str">
        <x:f>IF(B93="","",IFERROR(INDEX(SOURCES!$K$4:$K$83,MATCH(B93,SOURCES!$A$4:$A$83,0)),""))</x:f>
      </x:c>
      <x:c r="L93" s="119"/>
      <x:c r="M93" s="119"/>
      <x:c r="N93" s="119"/>
      <x:c r="O93" s="119"/>
      <x:c r="P93" s="126" t="str">
        <x:f>IF(G93="","",IF(I93="Direct Quote",IF(H93="","ACTION NEEDED","OK"),"N/A"))</x:f>
      </x:c>
      <x:c r="Q93" s="126" t="str">
        <x:f>IF(G93="","",IF(OR(B93="",D93="",I93="",J93=""),"ACTION NEEDED",IF(P93="ACTION NEEDED","ACTION NEEDED","OK")))</x:f>
      </x:c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126" t="str">
        <x:f>IF(G94="","","F"&amp;TEXT(ROW()-3,"000"))</x:f>
      </x:c>
      <x:c r="B94" s="119"/>
      <x:c r="C94" s="126" t="str">
        <x:f>IF(B94="","",IFERROR(INDEX(SOURCES!$C$4:$C$83,MATCH(B94,SOURCES!$A$4:$A$83,0))&amp;IF(INDEX(SOURCES!$D$4:$D$83,MATCH(B94,SOURCES!$A$4:$A$83,0))="",""," ("&amp;INDEX(SOURCES!$D$4:$D$83,MATCH(B94,SOURCES!$A$4:$A$83,0))&amp;")"),"Unknown source"))</x:f>
      </x:c>
      <x:c r="D94" s="119"/>
      <x:c r="E94" s="126" t="str">
        <x:f>IF(D94="","",IFERROR(INDEX(THEMES!$B$4:$B$15,MATCH(D94,THEMES!$A$4:$A$15,0)),"Unknown theme"))</x:f>
      </x:c>
      <x:c r="F94" s="119"/>
      <x:c r="G94" s="119"/>
      <x:c r="H94" s="119"/>
      <x:c r="I94" s="119"/>
      <x:c r="J94" s="119"/>
      <x:c r="K94" s="126" t="str">
        <x:f>IF(B94="","",IFERROR(INDEX(SOURCES!$K$4:$K$83,MATCH(B94,SOURCES!$A$4:$A$83,0)),""))</x:f>
      </x:c>
      <x:c r="L94" s="119"/>
      <x:c r="M94" s="119"/>
      <x:c r="N94" s="119"/>
      <x:c r="O94" s="119"/>
      <x:c r="P94" s="126" t="str">
        <x:f>IF(G94="","",IF(I94="Direct Quote",IF(H94="","ACTION NEEDED","OK"),"N/A"))</x:f>
      </x:c>
      <x:c r="Q94" s="126" t="str">
        <x:f>IF(G94="","",IF(OR(B94="",D94="",I94="",J94=""),"ACTION NEEDED",IF(P94="ACTION NEEDED","ACTION NEEDED","OK")))</x:f>
      </x:c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126" t="str">
        <x:f>IF(G95="","","F"&amp;TEXT(ROW()-3,"000"))</x:f>
      </x:c>
      <x:c r="B95" s="119"/>
      <x:c r="C95" s="126" t="str">
        <x:f>IF(B95="","",IFERROR(INDEX(SOURCES!$C$4:$C$83,MATCH(B95,SOURCES!$A$4:$A$83,0))&amp;IF(INDEX(SOURCES!$D$4:$D$83,MATCH(B95,SOURCES!$A$4:$A$83,0))="",""," ("&amp;INDEX(SOURCES!$D$4:$D$83,MATCH(B95,SOURCES!$A$4:$A$83,0))&amp;")"),"Unknown source"))</x:f>
      </x:c>
      <x:c r="D95" s="119"/>
      <x:c r="E95" s="126" t="str">
        <x:f>IF(D95="","",IFERROR(INDEX(THEMES!$B$4:$B$15,MATCH(D95,THEMES!$A$4:$A$15,0)),"Unknown theme"))</x:f>
      </x:c>
      <x:c r="F95" s="119"/>
      <x:c r="G95" s="119"/>
      <x:c r="H95" s="119"/>
      <x:c r="I95" s="119"/>
      <x:c r="J95" s="119"/>
      <x:c r="K95" s="126" t="str">
        <x:f>IF(B95="","",IFERROR(INDEX(SOURCES!$K$4:$K$83,MATCH(B95,SOURCES!$A$4:$A$83,0)),""))</x:f>
      </x:c>
      <x:c r="L95" s="119"/>
      <x:c r="M95" s="119"/>
      <x:c r="N95" s="119"/>
      <x:c r="O95" s="119"/>
      <x:c r="P95" s="126" t="str">
        <x:f>IF(G95="","",IF(I95="Direct Quote",IF(H95="","ACTION NEEDED","OK"),"N/A"))</x:f>
      </x:c>
      <x:c r="Q95" s="126" t="str">
        <x:f>IF(G95="","",IF(OR(B95="",D95="",I95="",J95=""),"ACTION NEEDED",IF(P95="ACTION NEEDED","ACTION NEEDED","OK")))</x:f>
      </x:c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126" t="str">
        <x:f>IF(G96="","","F"&amp;TEXT(ROW()-3,"000"))</x:f>
      </x:c>
      <x:c r="B96" s="119"/>
      <x:c r="C96" s="126" t="str">
        <x:f>IF(B96="","",IFERROR(INDEX(SOURCES!$C$4:$C$83,MATCH(B96,SOURCES!$A$4:$A$83,0))&amp;IF(INDEX(SOURCES!$D$4:$D$83,MATCH(B96,SOURCES!$A$4:$A$83,0))="",""," ("&amp;INDEX(SOURCES!$D$4:$D$83,MATCH(B96,SOURCES!$A$4:$A$83,0))&amp;")"),"Unknown source"))</x:f>
      </x:c>
      <x:c r="D96" s="119"/>
      <x:c r="E96" s="126" t="str">
        <x:f>IF(D96="","",IFERROR(INDEX(THEMES!$B$4:$B$15,MATCH(D96,THEMES!$A$4:$A$15,0)),"Unknown theme"))</x:f>
      </x:c>
      <x:c r="F96" s="119"/>
      <x:c r="G96" s="119"/>
      <x:c r="H96" s="119"/>
      <x:c r="I96" s="119"/>
      <x:c r="J96" s="119"/>
      <x:c r="K96" s="126" t="str">
        <x:f>IF(B96="","",IFERROR(INDEX(SOURCES!$K$4:$K$83,MATCH(B96,SOURCES!$A$4:$A$83,0)),""))</x:f>
      </x:c>
      <x:c r="L96" s="119"/>
      <x:c r="M96" s="119"/>
      <x:c r="N96" s="119"/>
      <x:c r="O96" s="119"/>
      <x:c r="P96" s="126" t="str">
        <x:f>IF(G96="","",IF(I96="Direct Quote",IF(H96="","ACTION NEEDED","OK"),"N/A"))</x:f>
      </x:c>
      <x:c r="Q96" s="126" t="str">
        <x:f>IF(G96="","",IF(OR(B96="",D96="",I96="",J96=""),"ACTION NEEDED",IF(P96="ACTION NEEDED","ACTION NEEDED","OK")))</x:f>
      </x:c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126" t="str">
        <x:f>IF(G97="","","F"&amp;TEXT(ROW()-3,"000"))</x:f>
      </x:c>
      <x:c r="B97" s="119"/>
      <x:c r="C97" s="126" t="str">
        <x:f>IF(B97="","",IFERROR(INDEX(SOURCES!$C$4:$C$83,MATCH(B97,SOURCES!$A$4:$A$83,0))&amp;IF(INDEX(SOURCES!$D$4:$D$83,MATCH(B97,SOURCES!$A$4:$A$83,0))="",""," ("&amp;INDEX(SOURCES!$D$4:$D$83,MATCH(B97,SOURCES!$A$4:$A$83,0))&amp;")"),"Unknown source"))</x:f>
      </x:c>
      <x:c r="D97" s="119"/>
      <x:c r="E97" s="126" t="str">
        <x:f>IF(D97="","",IFERROR(INDEX(THEMES!$B$4:$B$15,MATCH(D97,THEMES!$A$4:$A$15,0)),"Unknown theme"))</x:f>
      </x:c>
      <x:c r="F97" s="119"/>
      <x:c r="G97" s="119"/>
      <x:c r="H97" s="119"/>
      <x:c r="I97" s="119"/>
      <x:c r="J97" s="119"/>
      <x:c r="K97" s="126" t="str">
        <x:f>IF(B97="","",IFERROR(INDEX(SOURCES!$K$4:$K$83,MATCH(B97,SOURCES!$A$4:$A$83,0)),""))</x:f>
      </x:c>
      <x:c r="L97" s="119"/>
      <x:c r="M97" s="119"/>
      <x:c r="N97" s="119"/>
      <x:c r="O97" s="119"/>
      <x:c r="P97" s="126" t="str">
        <x:f>IF(G97="","",IF(I97="Direct Quote",IF(H97="","ACTION NEEDED","OK"),"N/A"))</x:f>
      </x:c>
      <x:c r="Q97" s="126" t="str">
        <x:f>IF(G97="","",IF(OR(B97="",D97="",I97="",J97=""),"ACTION NEEDED",IF(P97="ACTION NEEDED","ACTION NEEDED","OK")))</x:f>
      </x:c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126" t="str">
        <x:f>IF(G98="","","F"&amp;TEXT(ROW()-3,"000"))</x:f>
      </x:c>
      <x:c r="B98" s="119"/>
      <x:c r="C98" s="126" t="str">
        <x:f>IF(B98="","",IFERROR(INDEX(SOURCES!$C$4:$C$83,MATCH(B98,SOURCES!$A$4:$A$83,0))&amp;IF(INDEX(SOURCES!$D$4:$D$83,MATCH(B98,SOURCES!$A$4:$A$83,0))="",""," ("&amp;INDEX(SOURCES!$D$4:$D$83,MATCH(B98,SOURCES!$A$4:$A$83,0))&amp;")"),"Unknown source"))</x:f>
      </x:c>
      <x:c r="D98" s="119"/>
      <x:c r="E98" s="126" t="str">
        <x:f>IF(D98="","",IFERROR(INDEX(THEMES!$B$4:$B$15,MATCH(D98,THEMES!$A$4:$A$15,0)),"Unknown theme"))</x:f>
      </x:c>
      <x:c r="F98" s="119"/>
      <x:c r="G98" s="119"/>
      <x:c r="H98" s="119"/>
      <x:c r="I98" s="119"/>
      <x:c r="J98" s="119"/>
      <x:c r="K98" s="126" t="str">
        <x:f>IF(B98="","",IFERROR(INDEX(SOURCES!$K$4:$K$83,MATCH(B98,SOURCES!$A$4:$A$83,0)),""))</x:f>
      </x:c>
      <x:c r="L98" s="119"/>
      <x:c r="M98" s="119"/>
      <x:c r="N98" s="119"/>
      <x:c r="O98" s="119"/>
      <x:c r="P98" s="126" t="str">
        <x:f>IF(G98="","",IF(I98="Direct Quote",IF(H98="","ACTION NEEDED","OK"),"N/A"))</x:f>
      </x:c>
      <x:c r="Q98" s="126" t="str">
        <x:f>IF(G98="","",IF(OR(B98="",D98="",I98="",J98=""),"ACTION NEEDED",IF(P98="ACTION NEEDED","ACTION NEEDED","OK")))</x:f>
      </x:c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126" t="str">
        <x:f>IF(G99="","","F"&amp;TEXT(ROW()-3,"000"))</x:f>
      </x:c>
      <x:c r="B99" s="119"/>
      <x:c r="C99" s="126" t="str">
        <x:f>IF(B99="","",IFERROR(INDEX(SOURCES!$C$4:$C$83,MATCH(B99,SOURCES!$A$4:$A$83,0))&amp;IF(INDEX(SOURCES!$D$4:$D$83,MATCH(B99,SOURCES!$A$4:$A$83,0))="",""," ("&amp;INDEX(SOURCES!$D$4:$D$83,MATCH(B99,SOURCES!$A$4:$A$83,0))&amp;")"),"Unknown source"))</x:f>
      </x:c>
      <x:c r="D99" s="119"/>
      <x:c r="E99" s="126" t="str">
        <x:f>IF(D99="","",IFERROR(INDEX(THEMES!$B$4:$B$15,MATCH(D99,THEMES!$A$4:$A$15,0)),"Unknown theme"))</x:f>
      </x:c>
      <x:c r="F99" s="119"/>
      <x:c r="G99" s="119"/>
      <x:c r="H99" s="119"/>
      <x:c r="I99" s="119"/>
      <x:c r="J99" s="119"/>
      <x:c r="K99" s="126" t="str">
        <x:f>IF(B99="","",IFERROR(INDEX(SOURCES!$K$4:$K$83,MATCH(B99,SOURCES!$A$4:$A$83,0)),""))</x:f>
      </x:c>
      <x:c r="L99" s="119"/>
      <x:c r="M99" s="119"/>
      <x:c r="N99" s="119"/>
      <x:c r="O99" s="119"/>
      <x:c r="P99" s="126" t="str">
        <x:f>IF(G99="","",IF(I99="Direct Quote",IF(H99="","ACTION NEEDED","OK"),"N/A"))</x:f>
      </x:c>
      <x:c r="Q99" s="126" t="str">
        <x:f>IF(G99="","",IF(OR(B99="",D99="",I99="",J99=""),"ACTION NEEDED",IF(P99="ACTION NEEDED","ACTION NEEDED","OK")))</x:f>
      </x:c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126" t="str">
        <x:f>IF(G100="","","F"&amp;TEXT(ROW()-3,"000"))</x:f>
      </x:c>
      <x:c r="B100" s="119"/>
      <x:c r="C100" s="126" t="str">
        <x:f>IF(B100="","",IFERROR(INDEX(SOURCES!$C$4:$C$83,MATCH(B100,SOURCES!$A$4:$A$83,0))&amp;IF(INDEX(SOURCES!$D$4:$D$83,MATCH(B100,SOURCES!$A$4:$A$83,0))="",""," ("&amp;INDEX(SOURCES!$D$4:$D$83,MATCH(B100,SOURCES!$A$4:$A$83,0))&amp;")"),"Unknown source"))</x:f>
      </x:c>
      <x:c r="D100" s="119"/>
      <x:c r="E100" s="126" t="str">
        <x:f>IF(D100="","",IFERROR(INDEX(THEMES!$B$4:$B$15,MATCH(D100,THEMES!$A$4:$A$15,0)),"Unknown theme"))</x:f>
      </x:c>
      <x:c r="F100" s="119"/>
      <x:c r="G100" s="119"/>
      <x:c r="H100" s="119"/>
      <x:c r="I100" s="119"/>
      <x:c r="J100" s="119"/>
      <x:c r="K100" s="126" t="str">
        <x:f>IF(B100="","",IFERROR(INDEX(SOURCES!$K$4:$K$83,MATCH(B100,SOURCES!$A$4:$A$83,0)),""))</x:f>
      </x:c>
      <x:c r="L100" s="119"/>
      <x:c r="M100" s="119"/>
      <x:c r="N100" s="119"/>
      <x:c r="O100" s="119"/>
      <x:c r="P100" s="126" t="str">
        <x:f>IF(G100="","",IF(I100="Direct Quote",IF(H100="","ACTION NEEDED","OK"),"N/A"))</x:f>
      </x:c>
      <x:c r="Q100" s="126" t="str">
        <x:f>IF(G100="","",IF(OR(B100="",D100="",I100="",J100=""),"ACTION NEEDED",IF(P100="ACTION NEEDED","ACTION NEEDED","OK")))</x:f>
      </x:c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126" t="str">
        <x:f>IF(G101="","","F"&amp;TEXT(ROW()-3,"000"))</x:f>
      </x:c>
      <x:c r="B101" s="119"/>
      <x:c r="C101" s="126" t="str">
        <x:f>IF(B101="","",IFERROR(INDEX(SOURCES!$C$4:$C$83,MATCH(B101,SOURCES!$A$4:$A$83,0))&amp;IF(INDEX(SOURCES!$D$4:$D$83,MATCH(B101,SOURCES!$A$4:$A$83,0))="",""," ("&amp;INDEX(SOURCES!$D$4:$D$83,MATCH(B101,SOURCES!$A$4:$A$83,0))&amp;")"),"Unknown source"))</x:f>
      </x:c>
      <x:c r="D101" s="119"/>
      <x:c r="E101" s="126" t="str">
        <x:f>IF(D101="","",IFERROR(INDEX(THEMES!$B$4:$B$15,MATCH(D101,THEMES!$A$4:$A$15,0)),"Unknown theme"))</x:f>
      </x:c>
      <x:c r="F101" s="119"/>
      <x:c r="G101" s="119"/>
      <x:c r="H101" s="119"/>
      <x:c r="I101" s="119"/>
      <x:c r="J101" s="119"/>
      <x:c r="K101" s="126" t="str">
        <x:f>IF(B101="","",IFERROR(INDEX(SOURCES!$K$4:$K$83,MATCH(B101,SOURCES!$A$4:$A$83,0)),""))</x:f>
      </x:c>
      <x:c r="L101" s="119"/>
      <x:c r="M101" s="119"/>
      <x:c r="N101" s="119"/>
      <x:c r="O101" s="119"/>
      <x:c r="P101" s="126" t="str">
        <x:f>IF(G101="","",IF(I101="Direct Quote",IF(H101="","ACTION NEEDED","OK"),"N/A"))</x:f>
      </x:c>
      <x:c r="Q101" s="126" t="str">
        <x:f>IF(G101="","",IF(OR(B101="",D101="",I101="",J101=""),"ACTION NEEDED",IF(P101="ACTION NEEDED","ACTION NEEDED","OK")))</x:f>
      </x:c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126" t="str">
        <x:f>IF(G102="","","F"&amp;TEXT(ROW()-3,"000"))</x:f>
      </x:c>
      <x:c r="B102" s="119"/>
      <x:c r="C102" s="126" t="str">
        <x:f>IF(B102="","",IFERROR(INDEX(SOURCES!$C$4:$C$83,MATCH(B102,SOURCES!$A$4:$A$83,0))&amp;IF(INDEX(SOURCES!$D$4:$D$83,MATCH(B102,SOURCES!$A$4:$A$83,0))="",""," ("&amp;INDEX(SOURCES!$D$4:$D$83,MATCH(B102,SOURCES!$A$4:$A$83,0))&amp;")"),"Unknown source"))</x:f>
      </x:c>
      <x:c r="D102" s="119"/>
      <x:c r="E102" s="126" t="str">
        <x:f>IF(D102="","",IFERROR(INDEX(THEMES!$B$4:$B$15,MATCH(D102,THEMES!$A$4:$A$15,0)),"Unknown theme"))</x:f>
      </x:c>
      <x:c r="F102" s="119"/>
      <x:c r="G102" s="119"/>
      <x:c r="H102" s="119"/>
      <x:c r="I102" s="119"/>
      <x:c r="J102" s="119"/>
      <x:c r="K102" s="126" t="str">
        <x:f>IF(B102="","",IFERROR(INDEX(SOURCES!$K$4:$K$83,MATCH(B102,SOURCES!$A$4:$A$83,0)),""))</x:f>
      </x:c>
      <x:c r="L102" s="119"/>
      <x:c r="M102" s="119"/>
      <x:c r="N102" s="119"/>
      <x:c r="O102" s="119"/>
      <x:c r="P102" s="126" t="str">
        <x:f>IF(G102="","",IF(I102="Direct Quote",IF(H102="","ACTION NEEDED","OK"),"N/A"))</x:f>
      </x:c>
      <x:c r="Q102" s="126" t="str">
        <x:f>IF(G102="","",IF(OR(B102="",D102="",I102="",J102=""),"ACTION NEEDED",IF(P102="ACTION NEEDED","ACTION NEEDED","OK")))</x:f>
      </x:c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126" t="str">
        <x:f>IF(G103="","","F"&amp;TEXT(ROW()-3,"000"))</x:f>
      </x:c>
      <x:c r="B103" s="119"/>
      <x:c r="C103" s="126" t="str">
        <x:f>IF(B103="","",IFERROR(INDEX(SOURCES!$C$4:$C$83,MATCH(B103,SOURCES!$A$4:$A$83,0))&amp;IF(INDEX(SOURCES!$D$4:$D$83,MATCH(B103,SOURCES!$A$4:$A$83,0))="",""," ("&amp;INDEX(SOURCES!$D$4:$D$83,MATCH(B103,SOURCES!$A$4:$A$83,0))&amp;")"),"Unknown source"))</x:f>
      </x:c>
      <x:c r="D103" s="119"/>
      <x:c r="E103" s="126" t="str">
        <x:f>IF(D103="","",IFERROR(INDEX(THEMES!$B$4:$B$15,MATCH(D103,THEMES!$A$4:$A$15,0)),"Unknown theme"))</x:f>
      </x:c>
      <x:c r="F103" s="119"/>
      <x:c r="G103" s="119"/>
      <x:c r="H103" s="119"/>
      <x:c r="I103" s="119"/>
      <x:c r="J103" s="119"/>
      <x:c r="K103" s="126" t="str">
        <x:f>IF(B103="","",IFERROR(INDEX(SOURCES!$K$4:$K$83,MATCH(B103,SOURCES!$A$4:$A$83,0)),""))</x:f>
      </x:c>
      <x:c r="L103" s="119"/>
      <x:c r="M103" s="119"/>
      <x:c r="N103" s="119"/>
      <x:c r="O103" s="119"/>
      <x:c r="P103" s="126" t="str">
        <x:f>IF(G103="","",IF(I103="Direct Quote",IF(H103="","ACTION NEEDED","OK"),"N/A"))</x:f>
      </x:c>
      <x:c r="Q103" s="126" t="str">
        <x:f>IF(G103="","",IF(OR(B103="",D103="",I103="",J103=""),"ACTION NEEDED",IF(P103="ACTION NEEDED","ACTION NEEDED","OK")))</x:f>
      </x:c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126" t="str">
        <x:f>IF(G104="","","F"&amp;TEXT(ROW()-3,"000"))</x:f>
      </x:c>
      <x:c r="B104" s="119"/>
      <x:c r="C104" s="126" t="str">
        <x:f>IF(B104="","",IFERROR(INDEX(SOURCES!$C$4:$C$83,MATCH(B104,SOURCES!$A$4:$A$83,0))&amp;IF(INDEX(SOURCES!$D$4:$D$83,MATCH(B104,SOURCES!$A$4:$A$83,0))="",""," ("&amp;INDEX(SOURCES!$D$4:$D$83,MATCH(B104,SOURCES!$A$4:$A$83,0))&amp;")"),"Unknown source"))</x:f>
      </x:c>
      <x:c r="D104" s="119"/>
      <x:c r="E104" s="126" t="str">
        <x:f>IF(D104="","",IFERROR(INDEX(THEMES!$B$4:$B$15,MATCH(D104,THEMES!$A$4:$A$15,0)),"Unknown theme"))</x:f>
      </x:c>
      <x:c r="F104" s="119"/>
      <x:c r="G104" s="119"/>
      <x:c r="H104" s="119"/>
      <x:c r="I104" s="119"/>
      <x:c r="J104" s="119"/>
      <x:c r="K104" s="126" t="str">
        <x:f>IF(B104="","",IFERROR(INDEX(SOURCES!$K$4:$K$83,MATCH(B104,SOURCES!$A$4:$A$83,0)),""))</x:f>
      </x:c>
      <x:c r="L104" s="119"/>
      <x:c r="M104" s="119"/>
      <x:c r="N104" s="119"/>
      <x:c r="O104" s="119"/>
      <x:c r="P104" s="126" t="str">
        <x:f>IF(G104="","",IF(I104="Direct Quote",IF(H104="","ACTION NEEDED","OK"),"N/A"))</x:f>
      </x:c>
      <x:c r="Q104" s="126" t="str">
        <x:f>IF(G104="","",IF(OR(B104="",D104="",I104="",J104=""),"ACTION NEEDED",IF(P104="ACTION NEEDED","ACTION NEEDED","OK")))</x:f>
      </x:c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126" t="str">
        <x:f>IF(G105="","","F"&amp;TEXT(ROW()-3,"000"))</x:f>
      </x:c>
      <x:c r="B105" s="119"/>
      <x:c r="C105" s="126" t="str">
        <x:f>IF(B105="","",IFERROR(INDEX(SOURCES!$C$4:$C$83,MATCH(B105,SOURCES!$A$4:$A$83,0))&amp;IF(INDEX(SOURCES!$D$4:$D$83,MATCH(B105,SOURCES!$A$4:$A$83,0))="",""," ("&amp;INDEX(SOURCES!$D$4:$D$83,MATCH(B105,SOURCES!$A$4:$A$83,0))&amp;")"),"Unknown source"))</x:f>
      </x:c>
      <x:c r="D105" s="119"/>
      <x:c r="E105" s="126" t="str">
        <x:f>IF(D105="","",IFERROR(INDEX(THEMES!$B$4:$B$15,MATCH(D105,THEMES!$A$4:$A$15,0)),"Unknown theme"))</x:f>
      </x:c>
      <x:c r="F105" s="119"/>
      <x:c r="G105" s="119"/>
      <x:c r="H105" s="119"/>
      <x:c r="I105" s="119"/>
      <x:c r="J105" s="119"/>
      <x:c r="K105" s="126" t="str">
        <x:f>IF(B105="","",IFERROR(INDEX(SOURCES!$K$4:$K$83,MATCH(B105,SOURCES!$A$4:$A$83,0)),""))</x:f>
      </x:c>
      <x:c r="L105" s="119"/>
      <x:c r="M105" s="119"/>
      <x:c r="N105" s="119"/>
      <x:c r="O105" s="119"/>
      <x:c r="P105" s="126" t="str">
        <x:f>IF(G105="","",IF(I105="Direct Quote",IF(H105="","ACTION NEEDED","OK"),"N/A"))</x:f>
      </x:c>
      <x:c r="Q105" s="126" t="str">
        <x:f>IF(G105="","",IF(OR(B105="",D105="",I105="",J105=""),"ACTION NEEDED",IF(P105="ACTION NEEDED","ACTION NEEDED","OK")))</x:f>
      </x:c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126" t="str">
        <x:f>IF(G106="","","F"&amp;TEXT(ROW()-3,"000"))</x:f>
      </x:c>
      <x:c r="B106" s="119"/>
      <x:c r="C106" s="126" t="str">
        <x:f>IF(B106="","",IFERROR(INDEX(SOURCES!$C$4:$C$83,MATCH(B106,SOURCES!$A$4:$A$83,0))&amp;IF(INDEX(SOURCES!$D$4:$D$83,MATCH(B106,SOURCES!$A$4:$A$83,0))="",""," ("&amp;INDEX(SOURCES!$D$4:$D$83,MATCH(B106,SOURCES!$A$4:$A$83,0))&amp;")"),"Unknown source"))</x:f>
      </x:c>
      <x:c r="D106" s="119"/>
      <x:c r="E106" s="126" t="str">
        <x:f>IF(D106="","",IFERROR(INDEX(THEMES!$B$4:$B$15,MATCH(D106,THEMES!$A$4:$A$15,0)),"Unknown theme"))</x:f>
      </x:c>
      <x:c r="F106" s="119"/>
      <x:c r="G106" s="119"/>
      <x:c r="H106" s="119"/>
      <x:c r="I106" s="119"/>
      <x:c r="J106" s="119"/>
      <x:c r="K106" s="126" t="str">
        <x:f>IF(B106="","",IFERROR(INDEX(SOURCES!$K$4:$K$83,MATCH(B106,SOURCES!$A$4:$A$83,0)),""))</x:f>
      </x:c>
      <x:c r="L106" s="119"/>
      <x:c r="M106" s="119"/>
      <x:c r="N106" s="119"/>
      <x:c r="O106" s="119"/>
      <x:c r="P106" s="126" t="str">
        <x:f>IF(G106="","",IF(I106="Direct Quote",IF(H106="","ACTION NEEDED","OK"),"N/A"))</x:f>
      </x:c>
      <x:c r="Q106" s="126" t="str">
        <x:f>IF(G106="","",IF(OR(B106="",D106="",I106="",J106=""),"ACTION NEEDED",IF(P106="ACTION NEEDED","ACTION NEEDED","OK")))</x:f>
      </x:c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126" t="str">
        <x:f>IF(G107="","","F"&amp;TEXT(ROW()-3,"000"))</x:f>
      </x:c>
      <x:c r="B107" s="119"/>
      <x:c r="C107" s="126" t="str">
        <x:f>IF(B107="","",IFERROR(INDEX(SOURCES!$C$4:$C$83,MATCH(B107,SOURCES!$A$4:$A$83,0))&amp;IF(INDEX(SOURCES!$D$4:$D$83,MATCH(B107,SOURCES!$A$4:$A$83,0))="",""," ("&amp;INDEX(SOURCES!$D$4:$D$83,MATCH(B107,SOURCES!$A$4:$A$83,0))&amp;")"),"Unknown source"))</x:f>
      </x:c>
      <x:c r="D107" s="119"/>
      <x:c r="E107" s="126" t="str">
        <x:f>IF(D107="","",IFERROR(INDEX(THEMES!$B$4:$B$15,MATCH(D107,THEMES!$A$4:$A$15,0)),"Unknown theme"))</x:f>
      </x:c>
      <x:c r="F107" s="119"/>
      <x:c r="G107" s="119"/>
      <x:c r="H107" s="119"/>
      <x:c r="I107" s="119"/>
      <x:c r="J107" s="119"/>
      <x:c r="K107" s="126" t="str">
        <x:f>IF(B107="","",IFERROR(INDEX(SOURCES!$K$4:$K$83,MATCH(B107,SOURCES!$A$4:$A$83,0)),""))</x:f>
      </x:c>
      <x:c r="L107" s="119"/>
      <x:c r="M107" s="119"/>
      <x:c r="N107" s="119"/>
      <x:c r="O107" s="119"/>
      <x:c r="P107" s="126" t="str">
        <x:f>IF(G107="","",IF(I107="Direct Quote",IF(H107="","ACTION NEEDED","OK"),"N/A"))</x:f>
      </x:c>
      <x:c r="Q107" s="126" t="str">
        <x:f>IF(G107="","",IF(OR(B107="",D107="",I107="",J107=""),"ACTION NEEDED",IF(P107="ACTION NEEDED","ACTION NEEDED","OK")))</x:f>
      </x:c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126" t="str">
        <x:f>IF(G108="","","F"&amp;TEXT(ROW()-3,"000"))</x:f>
      </x:c>
      <x:c r="B108" s="119"/>
      <x:c r="C108" s="126" t="str">
        <x:f>IF(B108="","",IFERROR(INDEX(SOURCES!$C$4:$C$83,MATCH(B108,SOURCES!$A$4:$A$83,0))&amp;IF(INDEX(SOURCES!$D$4:$D$83,MATCH(B108,SOURCES!$A$4:$A$83,0))="",""," ("&amp;INDEX(SOURCES!$D$4:$D$83,MATCH(B108,SOURCES!$A$4:$A$83,0))&amp;")"),"Unknown source"))</x:f>
      </x:c>
      <x:c r="D108" s="119"/>
      <x:c r="E108" s="126" t="str">
        <x:f>IF(D108="","",IFERROR(INDEX(THEMES!$B$4:$B$15,MATCH(D108,THEMES!$A$4:$A$15,0)),"Unknown theme"))</x:f>
      </x:c>
      <x:c r="F108" s="119"/>
      <x:c r="G108" s="119"/>
      <x:c r="H108" s="119"/>
      <x:c r="I108" s="119"/>
      <x:c r="J108" s="119"/>
      <x:c r="K108" s="126" t="str">
        <x:f>IF(B108="","",IFERROR(INDEX(SOURCES!$K$4:$K$83,MATCH(B108,SOURCES!$A$4:$A$83,0)),""))</x:f>
      </x:c>
      <x:c r="L108" s="119"/>
      <x:c r="M108" s="119"/>
      <x:c r="N108" s="119"/>
      <x:c r="O108" s="119"/>
      <x:c r="P108" s="126" t="str">
        <x:f>IF(G108="","",IF(I108="Direct Quote",IF(H108="","ACTION NEEDED","OK"),"N/A"))</x:f>
      </x:c>
      <x:c r="Q108" s="126" t="str">
        <x:f>IF(G108="","",IF(OR(B108="",D108="",I108="",J108=""),"ACTION NEEDED",IF(P108="ACTION NEEDED","ACTION NEEDED","OK")))</x:f>
      </x:c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126" t="str">
        <x:f>IF(G109="","","F"&amp;TEXT(ROW()-3,"000"))</x:f>
      </x:c>
      <x:c r="B109" s="119"/>
      <x:c r="C109" s="126" t="str">
        <x:f>IF(B109="","",IFERROR(INDEX(SOURCES!$C$4:$C$83,MATCH(B109,SOURCES!$A$4:$A$83,0))&amp;IF(INDEX(SOURCES!$D$4:$D$83,MATCH(B109,SOURCES!$A$4:$A$83,0))="",""," ("&amp;INDEX(SOURCES!$D$4:$D$83,MATCH(B109,SOURCES!$A$4:$A$83,0))&amp;")"),"Unknown source"))</x:f>
      </x:c>
      <x:c r="D109" s="119"/>
      <x:c r="E109" s="126" t="str">
        <x:f>IF(D109="","",IFERROR(INDEX(THEMES!$B$4:$B$15,MATCH(D109,THEMES!$A$4:$A$15,0)),"Unknown theme"))</x:f>
      </x:c>
      <x:c r="F109" s="119"/>
      <x:c r="G109" s="119"/>
      <x:c r="H109" s="119"/>
      <x:c r="I109" s="119"/>
      <x:c r="J109" s="119"/>
      <x:c r="K109" s="126" t="str">
        <x:f>IF(B109="","",IFERROR(INDEX(SOURCES!$K$4:$K$83,MATCH(B109,SOURCES!$A$4:$A$83,0)),""))</x:f>
      </x:c>
      <x:c r="L109" s="119"/>
      <x:c r="M109" s="119"/>
      <x:c r="N109" s="119"/>
      <x:c r="O109" s="119"/>
      <x:c r="P109" s="126" t="str">
        <x:f>IF(G109="","",IF(I109="Direct Quote",IF(H109="","ACTION NEEDED","OK"),"N/A"))</x:f>
      </x:c>
      <x:c r="Q109" s="126" t="str">
        <x:f>IF(G109="","",IF(OR(B109="",D109="",I109="",J109=""),"ACTION NEEDED",IF(P109="ACTION NEEDED","ACTION NEEDED","OK")))</x:f>
      </x:c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126" t="str">
        <x:f>IF(G110="","","F"&amp;TEXT(ROW()-3,"000"))</x:f>
      </x:c>
      <x:c r="B110" s="119"/>
      <x:c r="C110" s="126" t="str">
        <x:f>IF(B110="","",IFERROR(INDEX(SOURCES!$C$4:$C$83,MATCH(B110,SOURCES!$A$4:$A$83,0))&amp;IF(INDEX(SOURCES!$D$4:$D$83,MATCH(B110,SOURCES!$A$4:$A$83,0))="",""," ("&amp;INDEX(SOURCES!$D$4:$D$83,MATCH(B110,SOURCES!$A$4:$A$83,0))&amp;")"),"Unknown source"))</x:f>
      </x:c>
      <x:c r="D110" s="119"/>
      <x:c r="E110" s="126" t="str">
        <x:f>IF(D110="","",IFERROR(INDEX(THEMES!$B$4:$B$15,MATCH(D110,THEMES!$A$4:$A$15,0)),"Unknown theme"))</x:f>
      </x:c>
      <x:c r="F110" s="119"/>
      <x:c r="G110" s="119"/>
      <x:c r="H110" s="119"/>
      <x:c r="I110" s="119"/>
      <x:c r="J110" s="119"/>
      <x:c r="K110" s="126" t="str">
        <x:f>IF(B110="","",IFERROR(INDEX(SOURCES!$K$4:$K$83,MATCH(B110,SOURCES!$A$4:$A$83,0)),""))</x:f>
      </x:c>
      <x:c r="L110" s="119"/>
      <x:c r="M110" s="119"/>
      <x:c r="N110" s="119"/>
      <x:c r="O110" s="119"/>
      <x:c r="P110" s="126" t="str">
        <x:f>IF(G110="","",IF(I110="Direct Quote",IF(H110="","ACTION NEEDED","OK"),"N/A"))</x:f>
      </x:c>
      <x:c r="Q110" s="126" t="str">
        <x:f>IF(G110="","",IF(OR(B110="",D110="",I110="",J110=""),"ACTION NEEDED",IF(P110="ACTION NEEDED","ACTION NEEDED","OK")))</x:f>
      </x:c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126" t="str">
        <x:f>IF(G111="","","F"&amp;TEXT(ROW()-3,"000"))</x:f>
      </x:c>
      <x:c r="B111" s="119"/>
      <x:c r="C111" s="126" t="str">
        <x:f>IF(B111="","",IFERROR(INDEX(SOURCES!$C$4:$C$83,MATCH(B111,SOURCES!$A$4:$A$83,0))&amp;IF(INDEX(SOURCES!$D$4:$D$83,MATCH(B111,SOURCES!$A$4:$A$83,0))="",""," ("&amp;INDEX(SOURCES!$D$4:$D$83,MATCH(B111,SOURCES!$A$4:$A$83,0))&amp;")"),"Unknown source"))</x:f>
      </x:c>
      <x:c r="D111" s="119"/>
      <x:c r="E111" s="126" t="str">
        <x:f>IF(D111="","",IFERROR(INDEX(THEMES!$B$4:$B$15,MATCH(D111,THEMES!$A$4:$A$15,0)),"Unknown theme"))</x:f>
      </x:c>
      <x:c r="F111" s="119"/>
      <x:c r="G111" s="119"/>
      <x:c r="H111" s="119"/>
      <x:c r="I111" s="119"/>
      <x:c r="J111" s="119"/>
      <x:c r="K111" s="126" t="str">
        <x:f>IF(B111="","",IFERROR(INDEX(SOURCES!$K$4:$K$83,MATCH(B111,SOURCES!$A$4:$A$83,0)),""))</x:f>
      </x:c>
      <x:c r="L111" s="119"/>
      <x:c r="M111" s="119"/>
      <x:c r="N111" s="119"/>
      <x:c r="O111" s="119"/>
      <x:c r="P111" s="126" t="str">
        <x:f>IF(G111="","",IF(I111="Direct Quote",IF(H111="","ACTION NEEDED","OK"),"N/A"))</x:f>
      </x:c>
      <x:c r="Q111" s="126" t="str">
        <x:f>IF(G111="","",IF(OR(B111="",D111="",I111="",J111=""),"ACTION NEEDED",IF(P111="ACTION NEEDED","ACTION NEEDED","OK")))</x:f>
      </x:c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126" t="str">
        <x:f>IF(G112="","","F"&amp;TEXT(ROW()-3,"000"))</x:f>
      </x:c>
      <x:c r="B112" s="119"/>
      <x:c r="C112" s="126" t="str">
        <x:f>IF(B112="","",IFERROR(INDEX(SOURCES!$C$4:$C$83,MATCH(B112,SOURCES!$A$4:$A$83,0))&amp;IF(INDEX(SOURCES!$D$4:$D$83,MATCH(B112,SOURCES!$A$4:$A$83,0))="",""," ("&amp;INDEX(SOURCES!$D$4:$D$83,MATCH(B112,SOURCES!$A$4:$A$83,0))&amp;")"),"Unknown source"))</x:f>
      </x:c>
      <x:c r="D112" s="119"/>
      <x:c r="E112" s="126" t="str">
        <x:f>IF(D112="","",IFERROR(INDEX(THEMES!$B$4:$B$15,MATCH(D112,THEMES!$A$4:$A$15,0)),"Unknown theme"))</x:f>
      </x:c>
      <x:c r="F112" s="119"/>
      <x:c r="G112" s="119"/>
      <x:c r="H112" s="119"/>
      <x:c r="I112" s="119"/>
      <x:c r="J112" s="119"/>
      <x:c r="K112" s="126" t="str">
        <x:f>IF(B112="","",IFERROR(INDEX(SOURCES!$K$4:$K$83,MATCH(B112,SOURCES!$A$4:$A$83,0)),""))</x:f>
      </x:c>
      <x:c r="L112" s="119"/>
      <x:c r="M112" s="119"/>
      <x:c r="N112" s="119"/>
      <x:c r="O112" s="119"/>
      <x:c r="P112" s="126" t="str">
        <x:f>IF(G112="","",IF(I112="Direct Quote",IF(H112="","ACTION NEEDED","OK"),"N/A"))</x:f>
      </x:c>
      <x:c r="Q112" s="126" t="str">
        <x:f>IF(G112="","",IF(OR(B112="",D112="",I112="",J112=""),"ACTION NEEDED",IF(P112="ACTION NEEDED","ACTION NEEDED","OK")))</x:f>
      </x:c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126" t="str">
        <x:f>IF(G113="","","F"&amp;TEXT(ROW()-3,"000"))</x:f>
      </x:c>
      <x:c r="B113" s="119"/>
      <x:c r="C113" s="126" t="str">
        <x:f>IF(B113="","",IFERROR(INDEX(SOURCES!$C$4:$C$83,MATCH(B113,SOURCES!$A$4:$A$83,0))&amp;IF(INDEX(SOURCES!$D$4:$D$83,MATCH(B113,SOURCES!$A$4:$A$83,0))="",""," ("&amp;INDEX(SOURCES!$D$4:$D$83,MATCH(B113,SOURCES!$A$4:$A$83,0))&amp;")"),"Unknown source"))</x:f>
      </x:c>
      <x:c r="D113" s="119"/>
      <x:c r="E113" s="126" t="str">
        <x:f>IF(D113="","",IFERROR(INDEX(THEMES!$B$4:$B$15,MATCH(D113,THEMES!$A$4:$A$15,0)),"Unknown theme"))</x:f>
      </x:c>
      <x:c r="F113" s="119"/>
      <x:c r="G113" s="119"/>
      <x:c r="H113" s="119"/>
      <x:c r="I113" s="119"/>
      <x:c r="J113" s="119"/>
      <x:c r="K113" s="126" t="str">
        <x:f>IF(B113="","",IFERROR(INDEX(SOURCES!$K$4:$K$83,MATCH(B113,SOURCES!$A$4:$A$83,0)),""))</x:f>
      </x:c>
      <x:c r="L113" s="119"/>
      <x:c r="M113" s="119"/>
      <x:c r="N113" s="119"/>
      <x:c r="O113" s="119"/>
      <x:c r="P113" s="126" t="str">
        <x:f>IF(G113="","",IF(I113="Direct Quote",IF(H113="","ACTION NEEDED","OK"),"N/A"))</x:f>
      </x:c>
      <x:c r="Q113" s="126" t="str">
        <x:f>IF(G113="","",IF(OR(B113="",D113="",I113="",J113=""),"ACTION NEEDED",IF(P113="ACTION NEEDED","ACTION NEEDED","OK")))</x:f>
      </x:c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126" t="str">
        <x:f>IF(G114="","","F"&amp;TEXT(ROW()-3,"000"))</x:f>
      </x:c>
      <x:c r="B114" s="119"/>
      <x:c r="C114" s="126" t="str">
        <x:f>IF(B114="","",IFERROR(INDEX(SOURCES!$C$4:$C$83,MATCH(B114,SOURCES!$A$4:$A$83,0))&amp;IF(INDEX(SOURCES!$D$4:$D$83,MATCH(B114,SOURCES!$A$4:$A$83,0))="",""," ("&amp;INDEX(SOURCES!$D$4:$D$83,MATCH(B114,SOURCES!$A$4:$A$83,0))&amp;")"),"Unknown source"))</x:f>
      </x:c>
      <x:c r="D114" s="119"/>
      <x:c r="E114" s="126" t="str">
        <x:f>IF(D114="","",IFERROR(INDEX(THEMES!$B$4:$B$15,MATCH(D114,THEMES!$A$4:$A$15,0)),"Unknown theme"))</x:f>
      </x:c>
      <x:c r="F114" s="119"/>
      <x:c r="G114" s="119"/>
      <x:c r="H114" s="119"/>
      <x:c r="I114" s="119"/>
      <x:c r="J114" s="119"/>
      <x:c r="K114" s="126" t="str">
        <x:f>IF(B114="","",IFERROR(INDEX(SOURCES!$K$4:$K$83,MATCH(B114,SOURCES!$A$4:$A$83,0)),""))</x:f>
      </x:c>
      <x:c r="L114" s="119"/>
      <x:c r="M114" s="119"/>
      <x:c r="N114" s="119"/>
      <x:c r="O114" s="119"/>
      <x:c r="P114" s="126" t="str">
        <x:f>IF(G114="","",IF(I114="Direct Quote",IF(H114="","ACTION NEEDED","OK"),"N/A"))</x:f>
      </x:c>
      <x:c r="Q114" s="126" t="str">
        <x:f>IF(G114="","",IF(OR(B114="",D114="",I114="",J114=""),"ACTION NEEDED",IF(P114="ACTION NEEDED","ACTION NEEDED","OK")))</x:f>
      </x:c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126" t="str">
        <x:f>IF(G115="","","F"&amp;TEXT(ROW()-3,"000"))</x:f>
      </x:c>
      <x:c r="B115" s="119"/>
      <x:c r="C115" s="126" t="str">
        <x:f>IF(B115="","",IFERROR(INDEX(SOURCES!$C$4:$C$83,MATCH(B115,SOURCES!$A$4:$A$83,0))&amp;IF(INDEX(SOURCES!$D$4:$D$83,MATCH(B115,SOURCES!$A$4:$A$83,0))="",""," ("&amp;INDEX(SOURCES!$D$4:$D$83,MATCH(B115,SOURCES!$A$4:$A$83,0))&amp;")"),"Unknown source"))</x:f>
      </x:c>
      <x:c r="D115" s="119"/>
      <x:c r="E115" s="126" t="str">
        <x:f>IF(D115="","",IFERROR(INDEX(THEMES!$B$4:$B$15,MATCH(D115,THEMES!$A$4:$A$15,0)),"Unknown theme"))</x:f>
      </x:c>
      <x:c r="F115" s="119"/>
      <x:c r="G115" s="119"/>
      <x:c r="H115" s="119"/>
      <x:c r="I115" s="119"/>
      <x:c r="J115" s="119"/>
      <x:c r="K115" s="126" t="str">
        <x:f>IF(B115="","",IFERROR(INDEX(SOURCES!$K$4:$K$83,MATCH(B115,SOURCES!$A$4:$A$83,0)),""))</x:f>
      </x:c>
      <x:c r="L115" s="119"/>
      <x:c r="M115" s="119"/>
      <x:c r="N115" s="119"/>
      <x:c r="O115" s="119"/>
      <x:c r="P115" s="126" t="str">
        <x:f>IF(G115="","",IF(I115="Direct Quote",IF(H115="","ACTION NEEDED","OK"),"N/A"))</x:f>
      </x:c>
      <x:c r="Q115" s="126" t="str">
        <x:f>IF(G115="","",IF(OR(B115="",D115="",I115="",J115=""),"ACTION NEEDED",IF(P115="ACTION NEEDED","ACTION NEEDED","OK")))</x:f>
      </x:c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126" t="str">
        <x:f>IF(G116="","","F"&amp;TEXT(ROW()-3,"000"))</x:f>
      </x:c>
      <x:c r="B116" s="119"/>
      <x:c r="C116" s="126" t="str">
        <x:f>IF(B116="","",IFERROR(INDEX(SOURCES!$C$4:$C$83,MATCH(B116,SOURCES!$A$4:$A$83,0))&amp;IF(INDEX(SOURCES!$D$4:$D$83,MATCH(B116,SOURCES!$A$4:$A$83,0))="",""," ("&amp;INDEX(SOURCES!$D$4:$D$83,MATCH(B116,SOURCES!$A$4:$A$83,0))&amp;")"),"Unknown source"))</x:f>
      </x:c>
      <x:c r="D116" s="119"/>
      <x:c r="E116" s="126" t="str">
        <x:f>IF(D116="","",IFERROR(INDEX(THEMES!$B$4:$B$15,MATCH(D116,THEMES!$A$4:$A$15,0)),"Unknown theme"))</x:f>
      </x:c>
      <x:c r="F116" s="119"/>
      <x:c r="G116" s="119"/>
      <x:c r="H116" s="119"/>
      <x:c r="I116" s="119"/>
      <x:c r="J116" s="119"/>
      <x:c r="K116" s="126" t="str">
        <x:f>IF(B116="","",IFERROR(INDEX(SOURCES!$K$4:$K$83,MATCH(B116,SOURCES!$A$4:$A$83,0)),""))</x:f>
      </x:c>
      <x:c r="L116" s="119"/>
      <x:c r="M116" s="119"/>
      <x:c r="N116" s="119"/>
      <x:c r="O116" s="119"/>
      <x:c r="P116" s="126" t="str">
        <x:f>IF(G116="","",IF(I116="Direct Quote",IF(H116="","ACTION NEEDED","OK"),"N/A"))</x:f>
      </x:c>
      <x:c r="Q116" s="126" t="str">
        <x:f>IF(G116="","",IF(OR(B116="",D116="",I116="",J116=""),"ACTION NEEDED",IF(P116="ACTION NEEDED","ACTION NEEDED","OK")))</x:f>
      </x:c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126" t="str">
        <x:f>IF(G117="","","F"&amp;TEXT(ROW()-3,"000"))</x:f>
      </x:c>
      <x:c r="B117" s="119"/>
      <x:c r="C117" s="126" t="str">
        <x:f>IF(B117="","",IFERROR(INDEX(SOURCES!$C$4:$C$83,MATCH(B117,SOURCES!$A$4:$A$83,0))&amp;IF(INDEX(SOURCES!$D$4:$D$83,MATCH(B117,SOURCES!$A$4:$A$83,0))="",""," ("&amp;INDEX(SOURCES!$D$4:$D$83,MATCH(B117,SOURCES!$A$4:$A$83,0))&amp;")"),"Unknown source"))</x:f>
      </x:c>
      <x:c r="D117" s="119"/>
      <x:c r="E117" s="126" t="str">
        <x:f>IF(D117="","",IFERROR(INDEX(THEMES!$B$4:$B$15,MATCH(D117,THEMES!$A$4:$A$15,0)),"Unknown theme"))</x:f>
      </x:c>
      <x:c r="F117" s="119"/>
      <x:c r="G117" s="119"/>
      <x:c r="H117" s="119"/>
      <x:c r="I117" s="119"/>
      <x:c r="J117" s="119"/>
      <x:c r="K117" s="126" t="str">
        <x:f>IF(B117="","",IFERROR(INDEX(SOURCES!$K$4:$K$83,MATCH(B117,SOURCES!$A$4:$A$83,0)),""))</x:f>
      </x:c>
      <x:c r="L117" s="119"/>
      <x:c r="M117" s="119"/>
      <x:c r="N117" s="119"/>
      <x:c r="O117" s="119"/>
      <x:c r="P117" s="126" t="str">
        <x:f>IF(G117="","",IF(I117="Direct Quote",IF(H117="","ACTION NEEDED","OK"),"N/A"))</x:f>
      </x:c>
      <x:c r="Q117" s="126" t="str">
        <x:f>IF(G117="","",IF(OR(B117="",D117="",I117="",J117=""),"ACTION NEEDED",IF(P117="ACTION NEEDED","ACTION NEEDED","OK")))</x:f>
      </x:c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126" t="str">
        <x:f>IF(G118="","","F"&amp;TEXT(ROW()-3,"000"))</x:f>
      </x:c>
      <x:c r="B118" s="119"/>
      <x:c r="C118" s="126" t="str">
        <x:f>IF(B118="","",IFERROR(INDEX(SOURCES!$C$4:$C$83,MATCH(B118,SOURCES!$A$4:$A$83,0))&amp;IF(INDEX(SOURCES!$D$4:$D$83,MATCH(B118,SOURCES!$A$4:$A$83,0))="",""," ("&amp;INDEX(SOURCES!$D$4:$D$83,MATCH(B118,SOURCES!$A$4:$A$83,0))&amp;")"),"Unknown source"))</x:f>
      </x:c>
      <x:c r="D118" s="119"/>
      <x:c r="E118" s="126" t="str">
        <x:f>IF(D118="","",IFERROR(INDEX(THEMES!$B$4:$B$15,MATCH(D118,THEMES!$A$4:$A$15,0)),"Unknown theme"))</x:f>
      </x:c>
      <x:c r="F118" s="119"/>
      <x:c r="G118" s="119"/>
      <x:c r="H118" s="119"/>
      <x:c r="I118" s="119"/>
      <x:c r="J118" s="119"/>
      <x:c r="K118" s="126" t="str">
        <x:f>IF(B118="","",IFERROR(INDEX(SOURCES!$K$4:$K$83,MATCH(B118,SOURCES!$A$4:$A$83,0)),""))</x:f>
      </x:c>
      <x:c r="L118" s="119"/>
      <x:c r="M118" s="119"/>
      <x:c r="N118" s="119"/>
      <x:c r="O118" s="119"/>
      <x:c r="P118" s="126" t="str">
        <x:f>IF(G118="","",IF(I118="Direct Quote",IF(H118="","ACTION NEEDED","OK"),"N/A"))</x:f>
      </x:c>
      <x:c r="Q118" s="126" t="str">
        <x:f>IF(G118="","",IF(OR(B118="",D118="",I118="",J118=""),"ACTION NEEDED",IF(P118="ACTION NEEDED","ACTION NEEDED","OK")))</x:f>
      </x:c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126" t="str">
        <x:f>IF(G119="","","F"&amp;TEXT(ROW()-3,"000"))</x:f>
      </x:c>
      <x:c r="B119" s="119"/>
      <x:c r="C119" s="126" t="str">
        <x:f>IF(B119="","",IFERROR(INDEX(SOURCES!$C$4:$C$83,MATCH(B119,SOURCES!$A$4:$A$83,0))&amp;IF(INDEX(SOURCES!$D$4:$D$83,MATCH(B119,SOURCES!$A$4:$A$83,0))="",""," ("&amp;INDEX(SOURCES!$D$4:$D$83,MATCH(B119,SOURCES!$A$4:$A$83,0))&amp;")"),"Unknown source"))</x:f>
      </x:c>
      <x:c r="D119" s="119"/>
      <x:c r="E119" s="126" t="str">
        <x:f>IF(D119="","",IFERROR(INDEX(THEMES!$B$4:$B$15,MATCH(D119,THEMES!$A$4:$A$15,0)),"Unknown theme"))</x:f>
      </x:c>
      <x:c r="F119" s="119"/>
      <x:c r="G119" s="119"/>
      <x:c r="H119" s="119"/>
      <x:c r="I119" s="119"/>
      <x:c r="J119" s="119"/>
      <x:c r="K119" s="126" t="str">
        <x:f>IF(B119="","",IFERROR(INDEX(SOURCES!$K$4:$K$83,MATCH(B119,SOURCES!$A$4:$A$83,0)),""))</x:f>
      </x:c>
      <x:c r="L119" s="119"/>
      <x:c r="M119" s="119"/>
      <x:c r="N119" s="119"/>
      <x:c r="O119" s="119"/>
      <x:c r="P119" s="126" t="str">
        <x:f>IF(G119="","",IF(I119="Direct Quote",IF(H119="","ACTION NEEDED","OK"),"N/A"))</x:f>
      </x:c>
      <x:c r="Q119" s="126" t="str">
        <x:f>IF(G119="","",IF(OR(B119="",D119="",I119="",J119=""),"ACTION NEEDED",IF(P119="ACTION NEEDED","ACTION NEEDED","OK")))</x:f>
      </x:c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126" t="str">
        <x:f>IF(G120="","","F"&amp;TEXT(ROW()-3,"000"))</x:f>
      </x:c>
      <x:c r="B120" s="119"/>
      <x:c r="C120" s="126" t="str">
        <x:f>IF(B120="","",IFERROR(INDEX(SOURCES!$C$4:$C$83,MATCH(B120,SOURCES!$A$4:$A$83,0))&amp;IF(INDEX(SOURCES!$D$4:$D$83,MATCH(B120,SOURCES!$A$4:$A$83,0))="",""," ("&amp;INDEX(SOURCES!$D$4:$D$83,MATCH(B120,SOURCES!$A$4:$A$83,0))&amp;")"),"Unknown source"))</x:f>
      </x:c>
      <x:c r="D120" s="119"/>
      <x:c r="E120" s="126" t="str">
        <x:f>IF(D120="","",IFERROR(INDEX(THEMES!$B$4:$B$15,MATCH(D120,THEMES!$A$4:$A$15,0)),"Unknown theme"))</x:f>
      </x:c>
      <x:c r="F120" s="119"/>
      <x:c r="G120" s="119"/>
      <x:c r="H120" s="119"/>
      <x:c r="I120" s="119"/>
      <x:c r="J120" s="119"/>
      <x:c r="K120" s="126" t="str">
        <x:f>IF(B120="","",IFERROR(INDEX(SOURCES!$K$4:$K$83,MATCH(B120,SOURCES!$A$4:$A$83,0)),""))</x:f>
      </x:c>
      <x:c r="L120" s="119"/>
      <x:c r="M120" s="119"/>
      <x:c r="N120" s="119"/>
      <x:c r="O120" s="119"/>
      <x:c r="P120" s="126" t="str">
        <x:f>IF(G120="","",IF(I120="Direct Quote",IF(H120="","ACTION NEEDED","OK"),"N/A"))</x:f>
      </x:c>
      <x:c r="Q120" s="126" t="str">
        <x:f>IF(G120="","",IF(OR(B120="",D120="",I120="",J120=""),"ACTION NEEDED",IF(P120="ACTION NEEDED","ACTION NEEDED","OK")))</x:f>
      </x:c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126" t="str">
        <x:f>IF(G121="","","F"&amp;TEXT(ROW()-3,"000"))</x:f>
      </x:c>
      <x:c r="B121" s="119"/>
      <x:c r="C121" s="126" t="str">
        <x:f>IF(B121="","",IFERROR(INDEX(SOURCES!$C$4:$C$83,MATCH(B121,SOURCES!$A$4:$A$83,0))&amp;IF(INDEX(SOURCES!$D$4:$D$83,MATCH(B121,SOURCES!$A$4:$A$83,0))="",""," ("&amp;INDEX(SOURCES!$D$4:$D$83,MATCH(B121,SOURCES!$A$4:$A$83,0))&amp;")"),"Unknown source"))</x:f>
      </x:c>
      <x:c r="D121" s="119"/>
      <x:c r="E121" s="126" t="str">
        <x:f>IF(D121="","",IFERROR(INDEX(THEMES!$B$4:$B$15,MATCH(D121,THEMES!$A$4:$A$15,0)),"Unknown theme"))</x:f>
      </x:c>
      <x:c r="F121" s="119"/>
      <x:c r="G121" s="119"/>
      <x:c r="H121" s="119"/>
      <x:c r="I121" s="119"/>
      <x:c r="J121" s="119"/>
      <x:c r="K121" s="126" t="str">
        <x:f>IF(B121="","",IFERROR(INDEX(SOURCES!$K$4:$K$83,MATCH(B121,SOURCES!$A$4:$A$83,0)),""))</x:f>
      </x:c>
      <x:c r="L121" s="119"/>
      <x:c r="M121" s="119"/>
      <x:c r="N121" s="119"/>
      <x:c r="O121" s="119"/>
      <x:c r="P121" s="126" t="str">
        <x:f>IF(G121="","",IF(I121="Direct Quote",IF(H121="","ACTION NEEDED","OK"),"N/A"))</x:f>
      </x:c>
      <x:c r="Q121" s="126" t="str">
        <x:f>IF(G121="","",IF(OR(B121="",D121="",I121="",J121=""),"ACTION NEEDED",IF(P121="ACTION NEEDED","ACTION NEEDED","OK")))</x:f>
      </x:c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126" t="str">
        <x:f>IF(G122="","","F"&amp;TEXT(ROW()-3,"000"))</x:f>
      </x:c>
      <x:c r="B122" s="119"/>
      <x:c r="C122" s="126" t="str">
        <x:f>IF(B122="","",IFERROR(INDEX(SOURCES!$C$4:$C$83,MATCH(B122,SOURCES!$A$4:$A$83,0))&amp;IF(INDEX(SOURCES!$D$4:$D$83,MATCH(B122,SOURCES!$A$4:$A$83,0))="",""," ("&amp;INDEX(SOURCES!$D$4:$D$83,MATCH(B122,SOURCES!$A$4:$A$83,0))&amp;")"),"Unknown source"))</x:f>
      </x:c>
      <x:c r="D122" s="119"/>
      <x:c r="E122" s="126" t="str">
        <x:f>IF(D122="","",IFERROR(INDEX(THEMES!$B$4:$B$15,MATCH(D122,THEMES!$A$4:$A$15,0)),"Unknown theme"))</x:f>
      </x:c>
      <x:c r="F122" s="119"/>
      <x:c r="G122" s="119"/>
      <x:c r="H122" s="119"/>
      <x:c r="I122" s="119"/>
      <x:c r="J122" s="119"/>
      <x:c r="K122" s="126" t="str">
        <x:f>IF(B122="","",IFERROR(INDEX(SOURCES!$K$4:$K$83,MATCH(B122,SOURCES!$A$4:$A$83,0)),""))</x:f>
      </x:c>
      <x:c r="L122" s="119"/>
      <x:c r="M122" s="119"/>
      <x:c r="N122" s="119"/>
      <x:c r="O122" s="119"/>
      <x:c r="P122" s="126" t="str">
        <x:f>IF(G122="","",IF(I122="Direct Quote",IF(H122="","ACTION NEEDED","OK"),"N/A"))</x:f>
      </x:c>
      <x:c r="Q122" s="126" t="str">
        <x:f>IF(G122="","",IF(OR(B122="",D122="",I122="",J122=""),"ACTION NEEDED",IF(P122="ACTION NEEDED","ACTION NEEDED","OK")))</x:f>
      </x:c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126" t="str">
        <x:f>IF(G123="","","F"&amp;TEXT(ROW()-3,"000"))</x:f>
      </x:c>
      <x:c r="B123" s="119"/>
      <x:c r="C123" s="126" t="str">
        <x:f>IF(B123="","",IFERROR(INDEX(SOURCES!$C$4:$C$83,MATCH(B123,SOURCES!$A$4:$A$83,0))&amp;IF(INDEX(SOURCES!$D$4:$D$83,MATCH(B123,SOURCES!$A$4:$A$83,0))="",""," ("&amp;INDEX(SOURCES!$D$4:$D$83,MATCH(B123,SOURCES!$A$4:$A$83,0))&amp;")"),"Unknown source"))</x:f>
      </x:c>
      <x:c r="D123" s="119"/>
      <x:c r="E123" s="126" t="str">
        <x:f>IF(D123="","",IFERROR(INDEX(THEMES!$B$4:$B$15,MATCH(D123,THEMES!$A$4:$A$15,0)),"Unknown theme"))</x:f>
      </x:c>
      <x:c r="F123" s="119"/>
      <x:c r="G123" s="119"/>
      <x:c r="H123" s="119"/>
      <x:c r="I123" s="119"/>
      <x:c r="J123" s="119"/>
      <x:c r="K123" s="126" t="str">
        <x:f>IF(B123="","",IFERROR(INDEX(SOURCES!$K$4:$K$83,MATCH(B123,SOURCES!$A$4:$A$83,0)),""))</x:f>
      </x:c>
      <x:c r="L123" s="119"/>
      <x:c r="M123" s="119"/>
      <x:c r="N123" s="119"/>
      <x:c r="O123" s="119"/>
      <x:c r="P123" s="126" t="str">
        <x:f>IF(G123="","",IF(I123="Direct Quote",IF(H123="","ACTION NEEDED","OK"),"N/A"))</x:f>
      </x:c>
      <x:c r="Q123" s="126" t="str">
        <x:f>IF(G123="","",IF(OR(B123="",D123="",I123="",J123=""),"ACTION NEEDED",IF(P123="ACTION NEEDED","ACTION NEEDED","OK")))</x:f>
      </x:c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126" t="str">
        <x:f>IF(G124="","","F"&amp;TEXT(ROW()-3,"000"))</x:f>
      </x:c>
      <x:c r="B124" s="119"/>
      <x:c r="C124" s="126" t="str">
        <x:f>IF(B124="","",IFERROR(INDEX(SOURCES!$C$4:$C$83,MATCH(B124,SOURCES!$A$4:$A$83,0))&amp;IF(INDEX(SOURCES!$D$4:$D$83,MATCH(B124,SOURCES!$A$4:$A$83,0))="",""," ("&amp;INDEX(SOURCES!$D$4:$D$83,MATCH(B124,SOURCES!$A$4:$A$83,0))&amp;")"),"Unknown source"))</x:f>
      </x:c>
      <x:c r="D124" s="119"/>
      <x:c r="E124" s="126" t="str">
        <x:f>IF(D124="","",IFERROR(INDEX(THEMES!$B$4:$B$15,MATCH(D124,THEMES!$A$4:$A$15,0)),"Unknown theme"))</x:f>
      </x:c>
      <x:c r="F124" s="119"/>
      <x:c r="G124" s="119"/>
      <x:c r="H124" s="119"/>
      <x:c r="I124" s="119"/>
      <x:c r="J124" s="119"/>
      <x:c r="K124" s="126" t="str">
        <x:f>IF(B124="","",IFERROR(INDEX(SOURCES!$K$4:$K$83,MATCH(B124,SOURCES!$A$4:$A$83,0)),""))</x:f>
      </x:c>
      <x:c r="L124" s="119"/>
      <x:c r="M124" s="119"/>
      <x:c r="N124" s="119"/>
      <x:c r="O124" s="119"/>
      <x:c r="P124" s="126" t="str">
        <x:f>IF(G124="","",IF(I124="Direct Quote",IF(H124="","ACTION NEEDED","OK"),"N/A"))</x:f>
      </x:c>
      <x:c r="Q124" s="126" t="str">
        <x:f>IF(G124="","",IF(OR(B124="",D124="",I124="",J124=""),"ACTION NEEDED",IF(P124="ACTION NEEDED","ACTION NEEDED","OK")))</x:f>
      </x:c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126" t="str">
        <x:f>IF(G125="","","F"&amp;TEXT(ROW()-3,"000"))</x:f>
      </x:c>
      <x:c r="B125" s="119"/>
      <x:c r="C125" s="126" t="str">
        <x:f>IF(B125="","",IFERROR(INDEX(SOURCES!$C$4:$C$83,MATCH(B125,SOURCES!$A$4:$A$83,0))&amp;IF(INDEX(SOURCES!$D$4:$D$83,MATCH(B125,SOURCES!$A$4:$A$83,0))="",""," ("&amp;INDEX(SOURCES!$D$4:$D$83,MATCH(B125,SOURCES!$A$4:$A$83,0))&amp;")"),"Unknown source"))</x:f>
      </x:c>
      <x:c r="D125" s="119"/>
      <x:c r="E125" s="126" t="str">
        <x:f>IF(D125="","",IFERROR(INDEX(THEMES!$B$4:$B$15,MATCH(D125,THEMES!$A$4:$A$15,0)),"Unknown theme"))</x:f>
      </x:c>
      <x:c r="F125" s="119"/>
      <x:c r="G125" s="119"/>
      <x:c r="H125" s="119"/>
      <x:c r="I125" s="119"/>
      <x:c r="J125" s="119"/>
      <x:c r="K125" s="126" t="str">
        <x:f>IF(B125="","",IFERROR(INDEX(SOURCES!$K$4:$K$83,MATCH(B125,SOURCES!$A$4:$A$83,0)),""))</x:f>
      </x:c>
      <x:c r="L125" s="119"/>
      <x:c r="M125" s="119"/>
      <x:c r="N125" s="119"/>
      <x:c r="O125" s="119"/>
      <x:c r="P125" s="126" t="str">
        <x:f>IF(G125="","",IF(I125="Direct Quote",IF(H125="","ACTION NEEDED","OK"),"N/A"))</x:f>
      </x:c>
      <x:c r="Q125" s="126" t="str">
        <x:f>IF(G125="","",IF(OR(B125="",D125="",I125="",J125=""),"ACTION NEEDED",IF(P125="ACTION NEEDED","ACTION NEEDED","OK")))</x:f>
      </x:c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126" t="str">
        <x:f>IF(G126="","","F"&amp;TEXT(ROW()-3,"000"))</x:f>
      </x:c>
      <x:c r="B126" s="119"/>
      <x:c r="C126" s="126" t="str">
        <x:f>IF(B126="","",IFERROR(INDEX(SOURCES!$C$4:$C$83,MATCH(B126,SOURCES!$A$4:$A$83,0))&amp;IF(INDEX(SOURCES!$D$4:$D$83,MATCH(B126,SOURCES!$A$4:$A$83,0))="",""," ("&amp;INDEX(SOURCES!$D$4:$D$83,MATCH(B126,SOURCES!$A$4:$A$83,0))&amp;")"),"Unknown source"))</x:f>
      </x:c>
      <x:c r="D126" s="119"/>
      <x:c r="E126" s="126" t="str">
        <x:f>IF(D126="","",IFERROR(INDEX(THEMES!$B$4:$B$15,MATCH(D126,THEMES!$A$4:$A$15,0)),"Unknown theme"))</x:f>
      </x:c>
      <x:c r="F126" s="119"/>
      <x:c r="G126" s="119"/>
      <x:c r="H126" s="119"/>
      <x:c r="I126" s="119"/>
      <x:c r="J126" s="119"/>
      <x:c r="K126" s="126" t="str">
        <x:f>IF(B126="","",IFERROR(INDEX(SOURCES!$K$4:$K$83,MATCH(B126,SOURCES!$A$4:$A$83,0)),""))</x:f>
      </x:c>
      <x:c r="L126" s="119"/>
      <x:c r="M126" s="119"/>
      <x:c r="N126" s="119"/>
      <x:c r="O126" s="119"/>
      <x:c r="P126" s="126" t="str">
        <x:f>IF(G126="","",IF(I126="Direct Quote",IF(H126="","ACTION NEEDED","OK"),"N/A"))</x:f>
      </x:c>
      <x:c r="Q126" s="126" t="str">
        <x:f>IF(G126="","",IF(OR(B126="",D126="",I126="",J126=""),"ACTION NEEDED",IF(P126="ACTION NEEDED","ACTION NEEDED","OK")))</x:f>
      </x:c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126" t="str">
        <x:f>IF(G127="","","F"&amp;TEXT(ROW()-3,"000"))</x:f>
      </x:c>
      <x:c r="B127" s="119"/>
      <x:c r="C127" s="126" t="str">
        <x:f>IF(B127="","",IFERROR(INDEX(SOURCES!$C$4:$C$83,MATCH(B127,SOURCES!$A$4:$A$83,0))&amp;IF(INDEX(SOURCES!$D$4:$D$83,MATCH(B127,SOURCES!$A$4:$A$83,0))="",""," ("&amp;INDEX(SOURCES!$D$4:$D$83,MATCH(B127,SOURCES!$A$4:$A$83,0))&amp;")"),"Unknown source"))</x:f>
      </x:c>
      <x:c r="D127" s="119"/>
      <x:c r="E127" s="126" t="str">
        <x:f>IF(D127="","",IFERROR(INDEX(THEMES!$B$4:$B$15,MATCH(D127,THEMES!$A$4:$A$15,0)),"Unknown theme"))</x:f>
      </x:c>
      <x:c r="F127" s="119"/>
      <x:c r="G127" s="119"/>
      <x:c r="H127" s="119"/>
      <x:c r="I127" s="119"/>
      <x:c r="J127" s="119"/>
      <x:c r="K127" s="126" t="str">
        <x:f>IF(B127="","",IFERROR(INDEX(SOURCES!$K$4:$K$83,MATCH(B127,SOURCES!$A$4:$A$83,0)),""))</x:f>
      </x:c>
      <x:c r="L127" s="119"/>
      <x:c r="M127" s="119"/>
      <x:c r="N127" s="119"/>
      <x:c r="O127" s="119"/>
      <x:c r="P127" s="126" t="str">
        <x:f>IF(G127="","",IF(I127="Direct Quote",IF(H127="","ACTION NEEDED","OK"),"N/A"))</x:f>
      </x:c>
      <x:c r="Q127" s="126" t="str">
        <x:f>IF(G127="","",IF(OR(B127="",D127="",I127="",J127=""),"ACTION NEEDED",IF(P127="ACTION NEEDED","ACTION NEEDED","OK")))</x:f>
      </x:c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126" t="str">
        <x:f>IF(G128="","","F"&amp;TEXT(ROW()-3,"000"))</x:f>
      </x:c>
      <x:c r="B128" s="119"/>
      <x:c r="C128" s="126" t="str">
        <x:f>IF(B128="","",IFERROR(INDEX(SOURCES!$C$4:$C$83,MATCH(B128,SOURCES!$A$4:$A$83,0))&amp;IF(INDEX(SOURCES!$D$4:$D$83,MATCH(B128,SOURCES!$A$4:$A$83,0))="",""," ("&amp;INDEX(SOURCES!$D$4:$D$83,MATCH(B128,SOURCES!$A$4:$A$83,0))&amp;")"),"Unknown source"))</x:f>
      </x:c>
      <x:c r="D128" s="119"/>
      <x:c r="E128" s="126" t="str">
        <x:f>IF(D128="","",IFERROR(INDEX(THEMES!$B$4:$B$15,MATCH(D128,THEMES!$A$4:$A$15,0)),"Unknown theme"))</x:f>
      </x:c>
      <x:c r="F128" s="119"/>
      <x:c r="G128" s="119"/>
      <x:c r="H128" s="119"/>
      <x:c r="I128" s="119"/>
      <x:c r="J128" s="119"/>
      <x:c r="K128" s="126" t="str">
        <x:f>IF(B128="","",IFERROR(INDEX(SOURCES!$K$4:$K$83,MATCH(B128,SOURCES!$A$4:$A$83,0)),""))</x:f>
      </x:c>
      <x:c r="L128" s="119"/>
      <x:c r="M128" s="119"/>
      <x:c r="N128" s="119"/>
      <x:c r="O128" s="119"/>
      <x:c r="P128" s="126" t="str">
        <x:f>IF(G128="","",IF(I128="Direct Quote",IF(H128="","ACTION NEEDED","OK"),"N/A"))</x:f>
      </x:c>
      <x:c r="Q128" s="126" t="str">
        <x:f>IF(G128="","",IF(OR(B128="",D128="",I128="",J128=""),"ACTION NEEDED",IF(P128="ACTION NEEDED","ACTION NEEDED","OK")))</x:f>
      </x:c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126" t="str">
        <x:f>IF(G129="","","F"&amp;TEXT(ROW()-3,"000"))</x:f>
      </x:c>
      <x:c r="B129" s="119"/>
      <x:c r="C129" s="126" t="str">
        <x:f>IF(B129="","",IFERROR(INDEX(SOURCES!$C$4:$C$83,MATCH(B129,SOURCES!$A$4:$A$83,0))&amp;IF(INDEX(SOURCES!$D$4:$D$83,MATCH(B129,SOURCES!$A$4:$A$83,0))="",""," ("&amp;INDEX(SOURCES!$D$4:$D$83,MATCH(B129,SOURCES!$A$4:$A$83,0))&amp;")"),"Unknown source"))</x:f>
      </x:c>
      <x:c r="D129" s="119"/>
      <x:c r="E129" s="126" t="str">
        <x:f>IF(D129="","",IFERROR(INDEX(THEMES!$B$4:$B$15,MATCH(D129,THEMES!$A$4:$A$15,0)),"Unknown theme"))</x:f>
      </x:c>
      <x:c r="F129" s="119"/>
      <x:c r="G129" s="119"/>
      <x:c r="H129" s="119"/>
      <x:c r="I129" s="119"/>
      <x:c r="J129" s="119"/>
      <x:c r="K129" s="126" t="str">
        <x:f>IF(B129="","",IFERROR(INDEX(SOURCES!$K$4:$K$83,MATCH(B129,SOURCES!$A$4:$A$83,0)),""))</x:f>
      </x:c>
      <x:c r="L129" s="119"/>
      <x:c r="M129" s="119"/>
      <x:c r="N129" s="119"/>
      <x:c r="O129" s="119"/>
      <x:c r="P129" s="126" t="str">
        <x:f>IF(G129="","",IF(I129="Direct Quote",IF(H129="","ACTION NEEDED","OK"),"N/A"))</x:f>
      </x:c>
      <x:c r="Q129" s="126" t="str">
        <x:f>IF(G129="","",IF(OR(B129="",D129="",I129="",J129=""),"ACTION NEEDED",IF(P129="ACTION NEEDED","ACTION NEEDED","OK")))</x:f>
      </x:c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126" t="str">
        <x:f>IF(G130="","","F"&amp;TEXT(ROW()-3,"000"))</x:f>
      </x:c>
      <x:c r="B130" s="119"/>
      <x:c r="C130" s="126" t="str">
        <x:f>IF(B130="","",IFERROR(INDEX(SOURCES!$C$4:$C$83,MATCH(B130,SOURCES!$A$4:$A$83,0))&amp;IF(INDEX(SOURCES!$D$4:$D$83,MATCH(B130,SOURCES!$A$4:$A$83,0))="",""," ("&amp;INDEX(SOURCES!$D$4:$D$83,MATCH(B130,SOURCES!$A$4:$A$83,0))&amp;")"),"Unknown source"))</x:f>
      </x:c>
      <x:c r="D130" s="119"/>
      <x:c r="E130" s="126" t="str">
        <x:f>IF(D130="","",IFERROR(INDEX(THEMES!$B$4:$B$15,MATCH(D130,THEMES!$A$4:$A$15,0)),"Unknown theme"))</x:f>
      </x:c>
      <x:c r="F130" s="119"/>
      <x:c r="G130" s="119"/>
      <x:c r="H130" s="119"/>
      <x:c r="I130" s="119"/>
      <x:c r="J130" s="119"/>
      <x:c r="K130" s="126" t="str">
        <x:f>IF(B130="","",IFERROR(INDEX(SOURCES!$K$4:$K$83,MATCH(B130,SOURCES!$A$4:$A$83,0)),""))</x:f>
      </x:c>
      <x:c r="L130" s="119"/>
      <x:c r="M130" s="119"/>
      <x:c r="N130" s="119"/>
      <x:c r="O130" s="119"/>
      <x:c r="P130" s="126" t="str">
        <x:f>IF(G130="","",IF(I130="Direct Quote",IF(H130="","ACTION NEEDED","OK"),"N/A"))</x:f>
      </x:c>
      <x:c r="Q130" s="126" t="str">
        <x:f>IF(G130="","",IF(OR(B130="",D130="",I130="",J130=""),"ACTION NEEDED",IF(P130="ACTION NEEDED","ACTION NEEDED","OK")))</x:f>
      </x:c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126" t="str">
        <x:f>IF(G131="","","F"&amp;TEXT(ROW()-3,"000"))</x:f>
      </x:c>
      <x:c r="B131" s="119"/>
      <x:c r="C131" s="126" t="str">
        <x:f>IF(B131="","",IFERROR(INDEX(SOURCES!$C$4:$C$83,MATCH(B131,SOURCES!$A$4:$A$83,0))&amp;IF(INDEX(SOURCES!$D$4:$D$83,MATCH(B131,SOURCES!$A$4:$A$83,0))="",""," ("&amp;INDEX(SOURCES!$D$4:$D$83,MATCH(B131,SOURCES!$A$4:$A$83,0))&amp;")"),"Unknown source"))</x:f>
      </x:c>
      <x:c r="D131" s="119"/>
      <x:c r="E131" s="126" t="str">
        <x:f>IF(D131="","",IFERROR(INDEX(THEMES!$B$4:$B$15,MATCH(D131,THEMES!$A$4:$A$15,0)),"Unknown theme"))</x:f>
      </x:c>
      <x:c r="F131" s="119"/>
      <x:c r="G131" s="119"/>
      <x:c r="H131" s="119"/>
      <x:c r="I131" s="119"/>
      <x:c r="J131" s="119"/>
      <x:c r="K131" s="126" t="str">
        <x:f>IF(B131="","",IFERROR(INDEX(SOURCES!$K$4:$K$83,MATCH(B131,SOURCES!$A$4:$A$83,0)),""))</x:f>
      </x:c>
      <x:c r="L131" s="119"/>
      <x:c r="M131" s="119"/>
      <x:c r="N131" s="119"/>
      <x:c r="O131" s="119"/>
      <x:c r="P131" s="126" t="str">
        <x:f>IF(G131="","",IF(I131="Direct Quote",IF(H131="","ACTION NEEDED","OK"),"N/A"))</x:f>
      </x:c>
      <x:c r="Q131" s="126" t="str">
        <x:f>IF(G131="","",IF(OR(B131="",D131="",I131="",J131=""),"ACTION NEEDED",IF(P131="ACTION NEEDED","ACTION NEEDED","OK")))</x:f>
      </x:c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126" t="str">
        <x:f>IF(G132="","","F"&amp;TEXT(ROW()-3,"000"))</x:f>
      </x:c>
      <x:c r="B132" s="119"/>
      <x:c r="C132" s="126" t="str">
        <x:f>IF(B132="","",IFERROR(INDEX(SOURCES!$C$4:$C$83,MATCH(B132,SOURCES!$A$4:$A$83,0))&amp;IF(INDEX(SOURCES!$D$4:$D$83,MATCH(B132,SOURCES!$A$4:$A$83,0))="",""," ("&amp;INDEX(SOURCES!$D$4:$D$83,MATCH(B132,SOURCES!$A$4:$A$83,0))&amp;")"),"Unknown source"))</x:f>
      </x:c>
      <x:c r="D132" s="119"/>
      <x:c r="E132" s="126" t="str">
        <x:f>IF(D132="","",IFERROR(INDEX(THEMES!$B$4:$B$15,MATCH(D132,THEMES!$A$4:$A$15,0)),"Unknown theme"))</x:f>
      </x:c>
      <x:c r="F132" s="119"/>
      <x:c r="G132" s="119"/>
      <x:c r="H132" s="119"/>
      <x:c r="I132" s="119"/>
      <x:c r="J132" s="119"/>
      <x:c r="K132" s="126" t="str">
        <x:f>IF(B132="","",IFERROR(INDEX(SOURCES!$K$4:$K$83,MATCH(B132,SOURCES!$A$4:$A$83,0)),""))</x:f>
      </x:c>
      <x:c r="L132" s="119"/>
      <x:c r="M132" s="119"/>
      <x:c r="N132" s="119"/>
      <x:c r="O132" s="119"/>
      <x:c r="P132" s="126" t="str">
        <x:f>IF(G132="","",IF(I132="Direct Quote",IF(H132="","ACTION NEEDED","OK"),"N/A"))</x:f>
      </x:c>
      <x:c r="Q132" s="126" t="str">
        <x:f>IF(G132="","",IF(OR(B132="",D132="",I132="",J132=""),"ACTION NEEDED",IF(P132="ACTION NEEDED","ACTION NEEDED","OK")))</x:f>
      </x:c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126" t="str">
        <x:f>IF(G133="","","F"&amp;TEXT(ROW()-3,"000"))</x:f>
      </x:c>
      <x:c r="B133" s="119"/>
      <x:c r="C133" s="126" t="str">
        <x:f>IF(B133="","",IFERROR(INDEX(SOURCES!$C$4:$C$83,MATCH(B133,SOURCES!$A$4:$A$83,0))&amp;IF(INDEX(SOURCES!$D$4:$D$83,MATCH(B133,SOURCES!$A$4:$A$83,0))="",""," ("&amp;INDEX(SOURCES!$D$4:$D$83,MATCH(B133,SOURCES!$A$4:$A$83,0))&amp;")"),"Unknown source"))</x:f>
      </x:c>
      <x:c r="D133" s="119"/>
      <x:c r="E133" s="126" t="str">
        <x:f>IF(D133="","",IFERROR(INDEX(THEMES!$B$4:$B$15,MATCH(D133,THEMES!$A$4:$A$15,0)),"Unknown theme"))</x:f>
      </x:c>
      <x:c r="F133" s="119"/>
      <x:c r="G133" s="119"/>
      <x:c r="H133" s="119"/>
      <x:c r="I133" s="119"/>
      <x:c r="J133" s="119"/>
      <x:c r="K133" s="126" t="str">
        <x:f>IF(B133="","",IFERROR(INDEX(SOURCES!$K$4:$K$83,MATCH(B133,SOURCES!$A$4:$A$83,0)),""))</x:f>
      </x:c>
      <x:c r="L133" s="119"/>
      <x:c r="M133" s="119"/>
      <x:c r="N133" s="119"/>
      <x:c r="O133" s="119"/>
      <x:c r="P133" s="126" t="str">
        <x:f>IF(G133="","",IF(I133="Direct Quote",IF(H133="","ACTION NEEDED","OK"),"N/A"))</x:f>
      </x:c>
      <x:c r="Q133" s="126" t="str">
        <x:f>IF(G133="","",IF(OR(B133="",D133="",I133="",J133=""),"ACTION NEEDED",IF(P133="ACTION NEEDED","ACTION NEEDED","OK")))</x:f>
      </x:c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126" t="str">
        <x:f>IF(G134="","","F"&amp;TEXT(ROW()-3,"000"))</x:f>
      </x:c>
      <x:c r="B134" s="119"/>
      <x:c r="C134" s="126" t="str">
        <x:f>IF(B134="","",IFERROR(INDEX(SOURCES!$C$4:$C$83,MATCH(B134,SOURCES!$A$4:$A$83,0))&amp;IF(INDEX(SOURCES!$D$4:$D$83,MATCH(B134,SOURCES!$A$4:$A$83,0))="",""," ("&amp;INDEX(SOURCES!$D$4:$D$83,MATCH(B134,SOURCES!$A$4:$A$83,0))&amp;")"),"Unknown source"))</x:f>
      </x:c>
      <x:c r="D134" s="119"/>
      <x:c r="E134" s="126" t="str">
        <x:f>IF(D134="","",IFERROR(INDEX(THEMES!$B$4:$B$15,MATCH(D134,THEMES!$A$4:$A$15,0)),"Unknown theme"))</x:f>
      </x:c>
      <x:c r="F134" s="119"/>
      <x:c r="G134" s="119"/>
      <x:c r="H134" s="119"/>
      <x:c r="I134" s="119"/>
      <x:c r="J134" s="119"/>
      <x:c r="K134" s="126" t="str">
        <x:f>IF(B134="","",IFERROR(INDEX(SOURCES!$K$4:$K$83,MATCH(B134,SOURCES!$A$4:$A$83,0)),""))</x:f>
      </x:c>
      <x:c r="L134" s="119"/>
      <x:c r="M134" s="119"/>
      <x:c r="N134" s="119"/>
      <x:c r="O134" s="119"/>
      <x:c r="P134" s="126" t="str">
        <x:f>IF(G134="","",IF(I134="Direct Quote",IF(H134="","ACTION NEEDED","OK"),"N/A"))</x:f>
      </x:c>
      <x:c r="Q134" s="126" t="str">
        <x:f>IF(G134="","",IF(OR(B134="",D134="",I134="",J134=""),"ACTION NEEDED",IF(P134="ACTION NEEDED","ACTION NEEDED","OK")))</x:f>
      </x:c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126" t="str">
        <x:f>IF(G135="","","F"&amp;TEXT(ROW()-3,"000"))</x:f>
      </x:c>
      <x:c r="B135" s="119"/>
      <x:c r="C135" s="126" t="str">
        <x:f>IF(B135="","",IFERROR(INDEX(SOURCES!$C$4:$C$83,MATCH(B135,SOURCES!$A$4:$A$83,0))&amp;IF(INDEX(SOURCES!$D$4:$D$83,MATCH(B135,SOURCES!$A$4:$A$83,0))="",""," ("&amp;INDEX(SOURCES!$D$4:$D$83,MATCH(B135,SOURCES!$A$4:$A$83,0))&amp;")"),"Unknown source"))</x:f>
      </x:c>
      <x:c r="D135" s="119"/>
      <x:c r="E135" s="126" t="str">
        <x:f>IF(D135="","",IFERROR(INDEX(THEMES!$B$4:$B$15,MATCH(D135,THEMES!$A$4:$A$15,0)),"Unknown theme"))</x:f>
      </x:c>
      <x:c r="F135" s="119"/>
      <x:c r="G135" s="119"/>
      <x:c r="H135" s="119"/>
      <x:c r="I135" s="119"/>
      <x:c r="J135" s="119"/>
      <x:c r="K135" s="126" t="str">
        <x:f>IF(B135="","",IFERROR(INDEX(SOURCES!$K$4:$K$83,MATCH(B135,SOURCES!$A$4:$A$83,0)),""))</x:f>
      </x:c>
      <x:c r="L135" s="119"/>
      <x:c r="M135" s="119"/>
      <x:c r="N135" s="119"/>
      <x:c r="O135" s="119"/>
      <x:c r="P135" s="126" t="str">
        <x:f>IF(G135="","",IF(I135="Direct Quote",IF(H135="","ACTION NEEDED","OK"),"N/A"))</x:f>
      </x:c>
      <x:c r="Q135" s="126" t="str">
        <x:f>IF(G135="","",IF(OR(B135="",D135="",I135="",J135=""),"ACTION NEEDED",IF(P135="ACTION NEEDED","ACTION NEEDED","OK")))</x:f>
      </x:c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126" t="str">
        <x:f>IF(G136="","","F"&amp;TEXT(ROW()-3,"000"))</x:f>
      </x:c>
      <x:c r="B136" s="119"/>
      <x:c r="C136" s="126" t="str">
        <x:f>IF(B136="","",IFERROR(INDEX(SOURCES!$C$4:$C$83,MATCH(B136,SOURCES!$A$4:$A$83,0))&amp;IF(INDEX(SOURCES!$D$4:$D$83,MATCH(B136,SOURCES!$A$4:$A$83,0))="",""," ("&amp;INDEX(SOURCES!$D$4:$D$83,MATCH(B136,SOURCES!$A$4:$A$83,0))&amp;")"),"Unknown source"))</x:f>
      </x:c>
      <x:c r="D136" s="119"/>
      <x:c r="E136" s="126" t="str">
        <x:f>IF(D136="","",IFERROR(INDEX(THEMES!$B$4:$B$15,MATCH(D136,THEMES!$A$4:$A$15,0)),"Unknown theme"))</x:f>
      </x:c>
      <x:c r="F136" s="119"/>
      <x:c r="G136" s="119"/>
      <x:c r="H136" s="119"/>
      <x:c r="I136" s="119"/>
      <x:c r="J136" s="119"/>
      <x:c r="K136" s="126" t="str">
        <x:f>IF(B136="","",IFERROR(INDEX(SOURCES!$K$4:$K$83,MATCH(B136,SOURCES!$A$4:$A$83,0)),""))</x:f>
      </x:c>
      <x:c r="L136" s="119"/>
      <x:c r="M136" s="119"/>
      <x:c r="N136" s="119"/>
      <x:c r="O136" s="119"/>
      <x:c r="P136" s="126" t="str">
        <x:f>IF(G136="","",IF(I136="Direct Quote",IF(H136="","ACTION NEEDED","OK"),"N/A"))</x:f>
      </x:c>
      <x:c r="Q136" s="126" t="str">
        <x:f>IF(G136="","",IF(OR(B136="",D136="",I136="",J136=""),"ACTION NEEDED",IF(P136="ACTION NEEDED","ACTION NEEDED","OK")))</x:f>
      </x:c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126" t="str">
        <x:f>IF(G137="","","F"&amp;TEXT(ROW()-3,"000"))</x:f>
      </x:c>
      <x:c r="B137" s="119"/>
      <x:c r="C137" s="126" t="str">
        <x:f>IF(B137="","",IFERROR(INDEX(SOURCES!$C$4:$C$83,MATCH(B137,SOURCES!$A$4:$A$83,0))&amp;IF(INDEX(SOURCES!$D$4:$D$83,MATCH(B137,SOURCES!$A$4:$A$83,0))="",""," ("&amp;INDEX(SOURCES!$D$4:$D$83,MATCH(B137,SOURCES!$A$4:$A$83,0))&amp;")"),"Unknown source"))</x:f>
      </x:c>
      <x:c r="D137" s="119"/>
      <x:c r="E137" s="126" t="str">
        <x:f>IF(D137="","",IFERROR(INDEX(THEMES!$B$4:$B$15,MATCH(D137,THEMES!$A$4:$A$15,0)),"Unknown theme"))</x:f>
      </x:c>
      <x:c r="F137" s="119"/>
      <x:c r="G137" s="119"/>
      <x:c r="H137" s="119"/>
      <x:c r="I137" s="119"/>
      <x:c r="J137" s="119"/>
      <x:c r="K137" s="126" t="str">
        <x:f>IF(B137="","",IFERROR(INDEX(SOURCES!$K$4:$K$83,MATCH(B137,SOURCES!$A$4:$A$83,0)),""))</x:f>
      </x:c>
      <x:c r="L137" s="119"/>
      <x:c r="M137" s="119"/>
      <x:c r="N137" s="119"/>
      <x:c r="O137" s="119"/>
      <x:c r="P137" s="126" t="str">
        <x:f>IF(G137="","",IF(I137="Direct Quote",IF(H137="","ACTION NEEDED","OK"),"N/A"))</x:f>
      </x:c>
      <x:c r="Q137" s="126" t="str">
        <x:f>IF(G137="","",IF(OR(B137="",D137="",I137="",J137=""),"ACTION NEEDED",IF(P137="ACTION NEEDED","ACTION NEEDED","OK")))</x:f>
      </x:c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126" t="str">
        <x:f>IF(G138="","","F"&amp;TEXT(ROW()-3,"000"))</x:f>
      </x:c>
      <x:c r="B138" s="119"/>
      <x:c r="C138" s="126" t="str">
        <x:f>IF(B138="","",IFERROR(INDEX(SOURCES!$C$4:$C$83,MATCH(B138,SOURCES!$A$4:$A$83,0))&amp;IF(INDEX(SOURCES!$D$4:$D$83,MATCH(B138,SOURCES!$A$4:$A$83,0))="",""," ("&amp;INDEX(SOURCES!$D$4:$D$83,MATCH(B138,SOURCES!$A$4:$A$83,0))&amp;")"),"Unknown source"))</x:f>
      </x:c>
      <x:c r="D138" s="119"/>
      <x:c r="E138" s="126" t="str">
        <x:f>IF(D138="","",IFERROR(INDEX(THEMES!$B$4:$B$15,MATCH(D138,THEMES!$A$4:$A$15,0)),"Unknown theme"))</x:f>
      </x:c>
      <x:c r="F138" s="119"/>
      <x:c r="G138" s="119"/>
      <x:c r="H138" s="119"/>
      <x:c r="I138" s="119"/>
      <x:c r="J138" s="119"/>
      <x:c r="K138" s="126" t="str">
        <x:f>IF(B138="","",IFERROR(INDEX(SOURCES!$K$4:$K$83,MATCH(B138,SOURCES!$A$4:$A$83,0)),""))</x:f>
      </x:c>
      <x:c r="L138" s="119"/>
      <x:c r="M138" s="119"/>
      <x:c r="N138" s="119"/>
      <x:c r="O138" s="119"/>
      <x:c r="P138" s="126" t="str">
        <x:f>IF(G138="","",IF(I138="Direct Quote",IF(H138="","ACTION NEEDED","OK"),"N/A"))</x:f>
      </x:c>
      <x:c r="Q138" s="126" t="str">
        <x:f>IF(G138="","",IF(OR(B138="",D138="",I138="",J138=""),"ACTION NEEDED",IF(P138="ACTION NEEDED","ACTION NEEDED","OK")))</x:f>
      </x:c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126" t="str">
        <x:f>IF(G139="","","F"&amp;TEXT(ROW()-3,"000"))</x:f>
      </x:c>
      <x:c r="B139" s="119"/>
      <x:c r="C139" s="126" t="str">
        <x:f>IF(B139="","",IFERROR(INDEX(SOURCES!$C$4:$C$83,MATCH(B139,SOURCES!$A$4:$A$83,0))&amp;IF(INDEX(SOURCES!$D$4:$D$83,MATCH(B139,SOURCES!$A$4:$A$83,0))="",""," ("&amp;INDEX(SOURCES!$D$4:$D$83,MATCH(B139,SOURCES!$A$4:$A$83,0))&amp;")"),"Unknown source"))</x:f>
      </x:c>
      <x:c r="D139" s="119"/>
      <x:c r="E139" s="126" t="str">
        <x:f>IF(D139="","",IFERROR(INDEX(THEMES!$B$4:$B$15,MATCH(D139,THEMES!$A$4:$A$15,0)),"Unknown theme"))</x:f>
      </x:c>
      <x:c r="F139" s="119"/>
      <x:c r="G139" s="119"/>
      <x:c r="H139" s="119"/>
      <x:c r="I139" s="119"/>
      <x:c r="J139" s="119"/>
      <x:c r="K139" s="126" t="str">
        <x:f>IF(B139="","",IFERROR(INDEX(SOURCES!$K$4:$K$83,MATCH(B139,SOURCES!$A$4:$A$83,0)),""))</x:f>
      </x:c>
      <x:c r="L139" s="119"/>
      <x:c r="M139" s="119"/>
      <x:c r="N139" s="119"/>
      <x:c r="O139" s="119"/>
      <x:c r="P139" s="126" t="str">
        <x:f>IF(G139="","",IF(I139="Direct Quote",IF(H139="","ACTION NEEDED","OK"),"N/A"))</x:f>
      </x:c>
      <x:c r="Q139" s="126" t="str">
        <x:f>IF(G139="","",IF(OR(B139="",D139="",I139="",J139=""),"ACTION NEEDED",IF(P139="ACTION NEEDED","ACTION NEEDED","OK")))</x:f>
      </x:c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126" t="str">
        <x:f>IF(G140="","","F"&amp;TEXT(ROW()-3,"000"))</x:f>
      </x:c>
      <x:c r="B140" s="119"/>
      <x:c r="C140" s="126" t="str">
        <x:f>IF(B140="","",IFERROR(INDEX(SOURCES!$C$4:$C$83,MATCH(B140,SOURCES!$A$4:$A$83,0))&amp;IF(INDEX(SOURCES!$D$4:$D$83,MATCH(B140,SOURCES!$A$4:$A$83,0))="",""," ("&amp;INDEX(SOURCES!$D$4:$D$83,MATCH(B140,SOURCES!$A$4:$A$83,0))&amp;")"),"Unknown source"))</x:f>
      </x:c>
      <x:c r="D140" s="119"/>
      <x:c r="E140" s="126" t="str">
        <x:f>IF(D140="","",IFERROR(INDEX(THEMES!$B$4:$B$15,MATCH(D140,THEMES!$A$4:$A$15,0)),"Unknown theme"))</x:f>
      </x:c>
      <x:c r="F140" s="119"/>
      <x:c r="G140" s="119"/>
      <x:c r="H140" s="119"/>
      <x:c r="I140" s="119"/>
      <x:c r="J140" s="119"/>
      <x:c r="K140" s="126" t="str">
        <x:f>IF(B140="","",IFERROR(INDEX(SOURCES!$K$4:$K$83,MATCH(B140,SOURCES!$A$4:$A$83,0)),""))</x:f>
      </x:c>
      <x:c r="L140" s="119"/>
      <x:c r="M140" s="119"/>
      <x:c r="N140" s="119"/>
      <x:c r="O140" s="119"/>
      <x:c r="P140" s="126" t="str">
        <x:f>IF(G140="","",IF(I140="Direct Quote",IF(H140="","ACTION NEEDED","OK"),"N/A"))</x:f>
      </x:c>
      <x:c r="Q140" s="126" t="str">
        <x:f>IF(G140="","",IF(OR(B140="",D140="",I140="",J140=""),"ACTION NEEDED",IF(P140="ACTION NEEDED","ACTION NEEDED","OK")))</x:f>
      </x:c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126" t="str">
        <x:f>IF(G141="","","F"&amp;TEXT(ROW()-3,"000"))</x:f>
      </x:c>
      <x:c r="B141" s="119"/>
      <x:c r="C141" s="126" t="str">
        <x:f>IF(B141="","",IFERROR(INDEX(SOURCES!$C$4:$C$83,MATCH(B141,SOURCES!$A$4:$A$83,0))&amp;IF(INDEX(SOURCES!$D$4:$D$83,MATCH(B141,SOURCES!$A$4:$A$83,0))="",""," ("&amp;INDEX(SOURCES!$D$4:$D$83,MATCH(B141,SOURCES!$A$4:$A$83,0))&amp;")"),"Unknown source"))</x:f>
      </x:c>
      <x:c r="D141" s="119"/>
      <x:c r="E141" s="126" t="str">
        <x:f>IF(D141="","",IFERROR(INDEX(THEMES!$B$4:$B$15,MATCH(D141,THEMES!$A$4:$A$15,0)),"Unknown theme"))</x:f>
      </x:c>
      <x:c r="F141" s="119"/>
      <x:c r="G141" s="119"/>
      <x:c r="H141" s="119"/>
      <x:c r="I141" s="119"/>
      <x:c r="J141" s="119"/>
      <x:c r="K141" s="126" t="str">
        <x:f>IF(B141="","",IFERROR(INDEX(SOURCES!$K$4:$K$83,MATCH(B141,SOURCES!$A$4:$A$83,0)),""))</x:f>
      </x:c>
      <x:c r="L141" s="119"/>
      <x:c r="M141" s="119"/>
      <x:c r="N141" s="119"/>
      <x:c r="O141" s="119"/>
      <x:c r="P141" s="126" t="str">
        <x:f>IF(G141="","",IF(I141="Direct Quote",IF(H141="","ACTION NEEDED","OK"),"N/A"))</x:f>
      </x:c>
      <x:c r="Q141" s="126" t="str">
        <x:f>IF(G141="","",IF(OR(B141="",D141="",I141="",J141=""),"ACTION NEEDED",IF(P141="ACTION NEEDED","ACTION NEEDED","OK")))</x:f>
      </x:c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126" t="str">
        <x:f>IF(G142="","","F"&amp;TEXT(ROW()-3,"000"))</x:f>
      </x:c>
      <x:c r="B142" s="119"/>
      <x:c r="C142" s="126" t="str">
        <x:f>IF(B142="","",IFERROR(INDEX(SOURCES!$C$4:$C$83,MATCH(B142,SOURCES!$A$4:$A$83,0))&amp;IF(INDEX(SOURCES!$D$4:$D$83,MATCH(B142,SOURCES!$A$4:$A$83,0))="",""," ("&amp;INDEX(SOURCES!$D$4:$D$83,MATCH(B142,SOURCES!$A$4:$A$83,0))&amp;")"),"Unknown source"))</x:f>
      </x:c>
      <x:c r="D142" s="119"/>
      <x:c r="E142" s="126" t="str">
        <x:f>IF(D142="","",IFERROR(INDEX(THEMES!$B$4:$B$15,MATCH(D142,THEMES!$A$4:$A$15,0)),"Unknown theme"))</x:f>
      </x:c>
      <x:c r="F142" s="119"/>
      <x:c r="G142" s="119"/>
      <x:c r="H142" s="119"/>
      <x:c r="I142" s="119"/>
      <x:c r="J142" s="119"/>
      <x:c r="K142" s="126" t="str">
        <x:f>IF(B142="","",IFERROR(INDEX(SOURCES!$K$4:$K$83,MATCH(B142,SOURCES!$A$4:$A$83,0)),""))</x:f>
      </x:c>
      <x:c r="L142" s="119"/>
      <x:c r="M142" s="119"/>
      <x:c r="N142" s="119"/>
      <x:c r="O142" s="119"/>
      <x:c r="P142" s="126" t="str">
        <x:f>IF(G142="","",IF(I142="Direct Quote",IF(H142="","ACTION NEEDED","OK"),"N/A"))</x:f>
      </x:c>
      <x:c r="Q142" s="126" t="str">
        <x:f>IF(G142="","",IF(OR(B142="",D142="",I142="",J142=""),"ACTION NEEDED",IF(P142="ACTION NEEDED","ACTION NEEDED","OK")))</x:f>
      </x:c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126" t="str">
        <x:f>IF(G143="","","F"&amp;TEXT(ROW()-3,"000"))</x:f>
      </x:c>
      <x:c r="B143" s="119"/>
      <x:c r="C143" s="126" t="str">
        <x:f>IF(B143="","",IFERROR(INDEX(SOURCES!$C$4:$C$83,MATCH(B143,SOURCES!$A$4:$A$83,0))&amp;IF(INDEX(SOURCES!$D$4:$D$83,MATCH(B143,SOURCES!$A$4:$A$83,0))="",""," ("&amp;INDEX(SOURCES!$D$4:$D$83,MATCH(B143,SOURCES!$A$4:$A$83,0))&amp;")"),"Unknown source"))</x:f>
      </x:c>
      <x:c r="D143" s="119"/>
      <x:c r="E143" s="126" t="str">
        <x:f>IF(D143="","",IFERROR(INDEX(THEMES!$B$4:$B$15,MATCH(D143,THEMES!$A$4:$A$15,0)),"Unknown theme"))</x:f>
      </x:c>
      <x:c r="F143" s="119"/>
      <x:c r="G143" s="119"/>
      <x:c r="H143" s="119"/>
      <x:c r="I143" s="119"/>
      <x:c r="J143" s="119"/>
      <x:c r="K143" s="126" t="str">
        <x:f>IF(B143="","",IFERROR(INDEX(SOURCES!$K$4:$K$83,MATCH(B143,SOURCES!$A$4:$A$83,0)),""))</x:f>
      </x:c>
      <x:c r="L143" s="119"/>
      <x:c r="M143" s="119"/>
      <x:c r="N143" s="119"/>
      <x:c r="O143" s="119"/>
      <x:c r="P143" s="126" t="str">
        <x:f>IF(G143="","",IF(I143="Direct Quote",IF(H143="","ACTION NEEDED","OK"),"N/A"))</x:f>
      </x:c>
      <x:c r="Q143" s="126" t="str">
        <x:f>IF(G143="","",IF(OR(B143="",D143="",I143="",J143=""),"ACTION NEEDED",IF(P143="ACTION NEEDED","ACTION NEEDED","OK")))</x:f>
      </x:c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126" t="str">
        <x:f>IF(G144="","","F"&amp;TEXT(ROW()-3,"000"))</x:f>
      </x:c>
      <x:c r="B144" s="119"/>
      <x:c r="C144" s="126" t="str">
        <x:f>IF(B144="","",IFERROR(INDEX(SOURCES!$C$4:$C$83,MATCH(B144,SOURCES!$A$4:$A$83,0))&amp;IF(INDEX(SOURCES!$D$4:$D$83,MATCH(B144,SOURCES!$A$4:$A$83,0))="",""," ("&amp;INDEX(SOURCES!$D$4:$D$83,MATCH(B144,SOURCES!$A$4:$A$83,0))&amp;")"),"Unknown source"))</x:f>
      </x:c>
      <x:c r="D144" s="119"/>
      <x:c r="E144" s="126" t="str">
        <x:f>IF(D144="","",IFERROR(INDEX(THEMES!$B$4:$B$15,MATCH(D144,THEMES!$A$4:$A$15,0)),"Unknown theme"))</x:f>
      </x:c>
      <x:c r="F144" s="119"/>
      <x:c r="G144" s="119"/>
      <x:c r="H144" s="119"/>
      <x:c r="I144" s="119"/>
      <x:c r="J144" s="119"/>
      <x:c r="K144" s="126" t="str">
        <x:f>IF(B144="","",IFERROR(INDEX(SOURCES!$K$4:$K$83,MATCH(B144,SOURCES!$A$4:$A$83,0)),""))</x:f>
      </x:c>
      <x:c r="L144" s="119"/>
      <x:c r="M144" s="119"/>
      <x:c r="N144" s="119"/>
      <x:c r="O144" s="119"/>
      <x:c r="P144" s="126" t="str">
        <x:f>IF(G144="","",IF(I144="Direct Quote",IF(H144="","ACTION NEEDED","OK"),"N/A"))</x:f>
      </x:c>
      <x:c r="Q144" s="126" t="str">
        <x:f>IF(G144="","",IF(OR(B144="",D144="",I144="",J144=""),"ACTION NEEDED",IF(P144="ACTION NEEDED","ACTION NEEDED","OK")))</x:f>
      </x:c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126" t="str">
        <x:f>IF(G145="","","F"&amp;TEXT(ROW()-3,"000"))</x:f>
      </x:c>
      <x:c r="B145" s="119"/>
      <x:c r="C145" s="126" t="str">
        <x:f>IF(B145="","",IFERROR(INDEX(SOURCES!$C$4:$C$83,MATCH(B145,SOURCES!$A$4:$A$83,0))&amp;IF(INDEX(SOURCES!$D$4:$D$83,MATCH(B145,SOURCES!$A$4:$A$83,0))="",""," ("&amp;INDEX(SOURCES!$D$4:$D$83,MATCH(B145,SOURCES!$A$4:$A$83,0))&amp;")"),"Unknown source"))</x:f>
      </x:c>
      <x:c r="D145" s="119"/>
      <x:c r="E145" s="126" t="str">
        <x:f>IF(D145="","",IFERROR(INDEX(THEMES!$B$4:$B$15,MATCH(D145,THEMES!$A$4:$A$15,0)),"Unknown theme"))</x:f>
      </x:c>
      <x:c r="F145" s="119"/>
      <x:c r="G145" s="119"/>
      <x:c r="H145" s="119"/>
      <x:c r="I145" s="119"/>
      <x:c r="J145" s="119"/>
      <x:c r="K145" s="126" t="str">
        <x:f>IF(B145="","",IFERROR(INDEX(SOURCES!$K$4:$K$83,MATCH(B145,SOURCES!$A$4:$A$83,0)),""))</x:f>
      </x:c>
      <x:c r="L145" s="119"/>
      <x:c r="M145" s="119"/>
      <x:c r="N145" s="119"/>
      <x:c r="O145" s="119"/>
      <x:c r="P145" s="126" t="str">
        <x:f>IF(G145="","",IF(I145="Direct Quote",IF(H145="","ACTION NEEDED","OK"),"N/A"))</x:f>
      </x:c>
      <x:c r="Q145" s="126" t="str">
        <x:f>IF(G145="","",IF(OR(B145="",D145="",I145="",J145=""),"ACTION NEEDED",IF(P145="ACTION NEEDED","ACTION NEEDED","OK")))</x:f>
      </x:c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126" t="str">
        <x:f>IF(G146="","","F"&amp;TEXT(ROW()-3,"000"))</x:f>
      </x:c>
      <x:c r="B146" s="119"/>
      <x:c r="C146" s="126" t="str">
        <x:f>IF(B146="","",IFERROR(INDEX(SOURCES!$C$4:$C$83,MATCH(B146,SOURCES!$A$4:$A$83,0))&amp;IF(INDEX(SOURCES!$D$4:$D$83,MATCH(B146,SOURCES!$A$4:$A$83,0))="",""," ("&amp;INDEX(SOURCES!$D$4:$D$83,MATCH(B146,SOURCES!$A$4:$A$83,0))&amp;")"),"Unknown source"))</x:f>
      </x:c>
      <x:c r="D146" s="119"/>
      <x:c r="E146" s="126" t="str">
        <x:f>IF(D146="","",IFERROR(INDEX(THEMES!$B$4:$B$15,MATCH(D146,THEMES!$A$4:$A$15,0)),"Unknown theme"))</x:f>
      </x:c>
      <x:c r="F146" s="119"/>
      <x:c r="G146" s="119"/>
      <x:c r="H146" s="119"/>
      <x:c r="I146" s="119"/>
      <x:c r="J146" s="119"/>
      <x:c r="K146" s="126" t="str">
        <x:f>IF(B146="","",IFERROR(INDEX(SOURCES!$K$4:$K$83,MATCH(B146,SOURCES!$A$4:$A$83,0)),""))</x:f>
      </x:c>
      <x:c r="L146" s="119"/>
      <x:c r="M146" s="119"/>
      <x:c r="N146" s="119"/>
      <x:c r="O146" s="119"/>
      <x:c r="P146" s="126" t="str">
        <x:f>IF(G146="","",IF(I146="Direct Quote",IF(H146="","ACTION NEEDED","OK"),"N/A"))</x:f>
      </x:c>
      <x:c r="Q146" s="126" t="str">
        <x:f>IF(G146="","",IF(OR(B146="",D146="",I146="",J146=""),"ACTION NEEDED",IF(P146="ACTION NEEDED","ACTION NEEDED","OK")))</x:f>
      </x:c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126" t="str">
        <x:f>IF(G147="","","F"&amp;TEXT(ROW()-3,"000"))</x:f>
      </x:c>
      <x:c r="B147" s="119"/>
      <x:c r="C147" s="126" t="str">
        <x:f>IF(B147="","",IFERROR(INDEX(SOURCES!$C$4:$C$83,MATCH(B147,SOURCES!$A$4:$A$83,0))&amp;IF(INDEX(SOURCES!$D$4:$D$83,MATCH(B147,SOURCES!$A$4:$A$83,0))="",""," ("&amp;INDEX(SOURCES!$D$4:$D$83,MATCH(B147,SOURCES!$A$4:$A$83,0))&amp;")"),"Unknown source"))</x:f>
      </x:c>
      <x:c r="D147" s="119"/>
      <x:c r="E147" s="126" t="str">
        <x:f>IF(D147="","",IFERROR(INDEX(THEMES!$B$4:$B$15,MATCH(D147,THEMES!$A$4:$A$15,0)),"Unknown theme"))</x:f>
      </x:c>
      <x:c r="F147" s="119"/>
      <x:c r="G147" s="119"/>
      <x:c r="H147" s="119"/>
      <x:c r="I147" s="119"/>
      <x:c r="J147" s="119"/>
      <x:c r="K147" s="126" t="str">
        <x:f>IF(B147="","",IFERROR(INDEX(SOURCES!$K$4:$K$83,MATCH(B147,SOURCES!$A$4:$A$83,0)),""))</x:f>
      </x:c>
      <x:c r="L147" s="119"/>
      <x:c r="M147" s="119"/>
      <x:c r="N147" s="119"/>
      <x:c r="O147" s="119"/>
      <x:c r="P147" s="126" t="str">
        <x:f>IF(G147="","",IF(I147="Direct Quote",IF(H147="","ACTION NEEDED","OK"),"N/A"))</x:f>
      </x:c>
      <x:c r="Q147" s="126" t="str">
        <x:f>IF(G147="","",IF(OR(B147="",D147="",I147="",J147=""),"ACTION NEEDED",IF(P147="ACTION NEEDED","ACTION NEEDED","OK")))</x:f>
      </x:c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126" t="str">
        <x:f>IF(G148="","","F"&amp;TEXT(ROW()-3,"000"))</x:f>
      </x:c>
      <x:c r="B148" s="119"/>
      <x:c r="C148" s="126" t="str">
        <x:f>IF(B148="","",IFERROR(INDEX(SOURCES!$C$4:$C$83,MATCH(B148,SOURCES!$A$4:$A$83,0))&amp;IF(INDEX(SOURCES!$D$4:$D$83,MATCH(B148,SOURCES!$A$4:$A$83,0))="",""," ("&amp;INDEX(SOURCES!$D$4:$D$83,MATCH(B148,SOURCES!$A$4:$A$83,0))&amp;")"),"Unknown source"))</x:f>
      </x:c>
      <x:c r="D148" s="119"/>
      <x:c r="E148" s="126" t="str">
        <x:f>IF(D148="","",IFERROR(INDEX(THEMES!$B$4:$B$15,MATCH(D148,THEMES!$A$4:$A$15,0)),"Unknown theme"))</x:f>
      </x:c>
      <x:c r="F148" s="119"/>
      <x:c r="G148" s="119"/>
      <x:c r="H148" s="119"/>
      <x:c r="I148" s="119"/>
      <x:c r="J148" s="119"/>
      <x:c r="K148" s="126" t="str">
        <x:f>IF(B148="","",IFERROR(INDEX(SOURCES!$K$4:$K$83,MATCH(B148,SOURCES!$A$4:$A$83,0)),""))</x:f>
      </x:c>
      <x:c r="L148" s="119"/>
      <x:c r="M148" s="119"/>
      <x:c r="N148" s="119"/>
      <x:c r="O148" s="119"/>
      <x:c r="P148" s="126" t="str">
        <x:f>IF(G148="","",IF(I148="Direct Quote",IF(H148="","ACTION NEEDED","OK"),"N/A"))</x:f>
      </x:c>
      <x:c r="Q148" s="126" t="str">
        <x:f>IF(G148="","",IF(OR(B148="",D148="",I148="",J148=""),"ACTION NEEDED",IF(P148="ACTION NEEDED","ACTION NEEDED","OK")))</x:f>
      </x:c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126" t="str">
        <x:f>IF(G149="","","F"&amp;TEXT(ROW()-3,"000"))</x:f>
      </x:c>
      <x:c r="B149" s="119"/>
      <x:c r="C149" s="126" t="str">
        <x:f>IF(B149="","",IFERROR(INDEX(SOURCES!$C$4:$C$83,MATCH(B149,SOURCES!$A$4:$A$83,0))&amp;IF(INDEX(SOURCES!$D$4:$D$83,MATCH(B149,SOURCES!$A$4:$A$83,0))="",""," ("&amp;INDEX(SOURCES!$D$4:$D$83,MATCH(B149,SOURCES!$A$4:$A$83,0))&amp;")"),"Unknown source"))</x:f>
      </x:c>
      <x:c r="D149" s="119"/>
      <x:c r="E149" s="126" t="str">
        <x:f>IF(D149="","",IFERROR(INDEX(THEMES!$B$4:$B$15,MATCH(D149,THEMES!$A$4:$A$15,0)),"Unknown theme"))</x:f>
      </x:c>
      <x:c r="F149" s="119"/>
      <x:c r="G149" s="119"/>
      <x:c r="H149" s="119"/>
      <x:c r="I149" s="119"/>
      <x:c r="J149" s="119"/>
      <x:c r="K149" s="126" t="str">
        <x:f>IF(B149="","",IFERROR(INDEX(SOURCES!$K$4:$K$83,MATCH(B149,SOURCES!$A$4:$A$83,0)),""))</x:f>
      </x:c>
      <x:c r="L149" s="119"/>
      <x:c r="M149" s="119"/>
      <x:c r="N149" s="119"/>
      <x:c r="O149" s="119"/>
      <x:c r="P149" s="126" t="str">
        <x:f>IF(G149="","",IF(I149="Direct Quote",IF(H149="","ACTION NEEDED","OK"),"N/A"))</x:f>
      </x:c>
      <x:c r="Q149" s="126" t="str">
        <x:f>IF(G149="","",IF(OR(B149="",D149="",I149="",J149=""),"ACTION NEEDED",IF(P149="ACTION NEEDED","ACTION NEEDED","OK")))</x:f>
      </x:c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126" t="str">
        <x:f>IF(G150="","","F"&amp;TEXT(ROW()-3,"000"))</x:f>
      </x:c>
      <x:c r="B150" s="119"/>
      <x:c r="C150" s="126" t="str">
        <x:f>IF(B150="","",IFERROR(INDEX(SOURCES!$C$4:$C$83,MATCH(B150,SOURCES!$A$4:$A$83,0))&amp;IF(INDEX(SOURCES!$D$4:$D$83,MATCH(B150,SOURCES!$A$4:$A$83,0))="",""," ("&amp;INDEX(SOURCES!$D$4:$D$83,MATCH(B150,SOURCES!$A$4:$A$83,0))&amp;")"),"Unknown source"))</x:f>
      </x:c>
      <x:c r="D150" s="119"/>
      <x:c r="E150" s="126" t="str">
        <x:f>IF(D150="","",IFERROR(INDEX(THEMES!$B$4:$B$15,MATCH(D150,THEMES!$A$4:$A$15,0)),"Unknown theme"))</x:f>
      </x:c>
      <x:c r="F150" s="119"/>
      <x:c r="G150" s="119"/>
      <x:c r="H150" s="119"/>
      <x:c r="I150" s="119"/>
      <x:c r="J150" s="119"/>
      <x:c r="K150" s="126" t="str">
        <x:f>IF(B150="","",IFERROR(INDEX(SOURCES!$K$4:$K$83,MATCH(B150,SOURCES!$A$4:$A$83,0)),""))</x:f>
      </x:c>
      <x:c r="L150" s="119"/>
      <x:c r="M150" s="119"/>
      <x:c r="N150" s="119"/>
      <x:c r="O150" s="119"/>
      <x:c r="P150" s="126" t="str">
        <x:f>IF(G150="","",IF(I150="Direct Quote",IF(H150="","ACTION NEEDED","OK"),"N/A"))</x:f>
      </x:c>
      <x:c r="Q150" s="126" t="str">
        <x:f>IF(G150="","",IF(OR(B150="",D150="",I150="",J150=""),"ACTION NEEDED",IF(P150="ACTION NEEDED","ACTION NEEDED","OK")))</x:f>
      </x:c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126" t="str">
        <x:f>IF(G151="","","F"&amp;TEXT(ROW()-3,"000"))</x:f>
      </x:c>
      <x:c r="B151" s="119"/>
      <x:c r="C151" s="126" t="str">
        <x:f>IF(B151="","",IFERROR(INDEX(SOURCES!$C$4:$C$83,MATCH(B151,SOURCES!$A$4:$A$83,0))&amp;IF(INDEX(SOURCES!$D$4:$D$83,MATCH(B151,SOURCES!$A$4:$A$83,0))="",""," ("&amp;INDEX(SOURCES!$D$4:$D$83,MATCH(B151,SOURCES!$A$4:$A$83,0))&amp;")"),"Unknown source"))</x:f>
      </x:c>
      <x:c r="D151" s="119"/>
      <x:c r="E151" s="126" t="str">
        <x:f>IF(D151="","",IFERROR(INDEX(THEMES!$B$4:$B$15,MATCH(D151,THEMES!$A$4:$A$15,0)),"Unknown theme"))</x:f>
      </x:c>
      <x:c r="F151" s="119"/>
      <x:c r="G151" s="119"/>
      <x:c r="H151" s="119"/>
      <x:c r="I151" s="119"/>
      <x:c r="J151" s="119"/>
      <x:c r="K151" s="126" t="str">
        <x:f>IF(B151="","",IFERROR(INDEX(SOURCES!$K$4:$K$83,MATCH(B151,SOURCES!$A$4:$A$83,0)),""))</x:f>
      </x:c>
      <x:c r="L151" s="119"/>
      <x:c r="M151" s="119"/>
      <x:c r="N151" s="119"/>
      <x:c r="O151" s="119"/>
      <x:c r="P151" s="126" t="str">
        <x:f>IF(G151="","",IF(I151="Direct Quote",IF(H151="","ACTION NEEDED","OK"),"N/A"))</x:f>
      </x:c>
      <x:c r="Q151" s="126" t="str">
        <x:f>IF(G151="","",IF(OR(B151="",D151="",I151="",J151=""),"ACTION NEEDED",IF(P151="ACTION NEEDED","ACTION NEEDED","OK")))</x:f>
      </x:c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126" t="str">
        <x:f>IF(G152="","","F"&amp;TEXT(ROW()-3,"000"))</x:f>
      </x:c>
      <x:c r="B152" s="119"/>
      <x:c r="C152" s="126" t="str">
        <x:f>IF(B152="","",IFERROR(INDEX(SOURCES!$C$4:$C$83,MATCH(B152,SOURCES!$A$4:$A$83,0))&amp;IF(INDEX(SOURCES!$D$4:$D$83,MATCH(B152,SOURCES!$A$4:$A$83,0))="",""," ("&amp;INDEX(SOURCES!$D$4:$D$83,MATCH(B152,SOURCES!$A$4:$A$83,0))&amp;")"),"Unknown source"))</x:f>
      </x:c>
      <x:c r="D152" s="119"/>
      <x:c r="E152" s="126" t="str">
        <x:f>IF(D152="","",IFERROR(INDEX(THEMES!$B$4:$B$15,MATCH(D152,THEMES!$A$4:$A$15,0)),"Unknown theme"))</x:f>
      </x:c>
      <x:c r="F152" s="119"/>
      <x:c r="G152" s="119"/>
      <x:c r="H152" s="119"/>
      <x:c r="I152" s="119"/>
      <x:c r="J152" s="119"/>
      <x:c r="K152" s="126" t="str">
        <x:f>IF(B152="","",IFERROR(INDEX(SOURCES!$K$4:$K$83,MATCH(B152,SOURCES!$A$4:$A$83,0)),""))</x:f>
      </x:c>
      <x:c r="L152" s="119"/>
      <x:c r="M152" s="119"/>
      <x:c r="N152" s="119"/>
      <x:c r="O152" s="119"/>
      <x:c r="P152" s="126" t="str">
        <x:f>IF(G152="","",IF(I152="Direct Quote",IF(H152="","ACTION NEEDED","OK"),"N/A"))</x:f>
      </x:c>
      <x:c r="Q152" s="126" t="str">
        <x:f>IF(G152="","",IF(OR(B152="",D152="",I152="",J152=""),"ACTION NEEDED",IF(P152="ACTION NEEDED","ACTION NEEDED","OK")))</x:f>
      </x:c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126" t="str">
        <x:f>IF(G153="","","F"&amp;TEXT(ROW()-3,"000"))</x:f>
      </x:c>
      <x:c r="B153" s="119"/>
      <x:c r="C153" s="126" t="str">
        <x:f>IF(B153="","",IFERROR(INDEX(SOURCES!$C$4:$C$83,MATCH(B153,SOURCES!$A$4:$A$83,0))&amp;IF(INDEX(SOURCES!$D$4:$D$83,MATCH(B153,SOURCES!$A$4:$A$83,0))="",""," ("&amp;INDEX(SOURCES!$D$4:$D$83,MATCH(B153,SOURCES!$A$4:$A$83,0))&amp;")"),"Unknown source"))</x:f>
      </x:c>
      <x:c r="D153" s="119"/>
      <x:c r="E153" s="126" t="str">
        <x:f>IF(D153="","",IFERROR(INDEX(THEMES!$B$4:$B$15,MATCH(D153,THEMES!$A$4:$A$15,0)),"Unknown theme"))</x:f>
      </x:c>
      <x:c r="F153" s="119"/>
      <x:c r="G153" s="119"/>
      <x:c r="H153" s="119"/>
      <x:c r="I153" s="119"/>
      <x:c r="J153" s="119"/>
      <x:c r="K153" s="126" t="str">
        <x:f>IF(B153="","",IFERROR(INDEX(SOURCES!$K$4:$K$83,MATCH(B153,SOURCES!$A$4:$A$83,0)),""))</x:f>
      </x:c>
      <x:c r="L153" s="119"/>
      <x:c r="M153" s="119"/>
      <x:c r="N153" s="119"/>
      <x:c r="O153" s="119"/>
      <x:c r="P153" s="126" t="str">
        <x:f>IF(G153="","",IF(I153="Direct Quote",IF(H153="","ACTION NEEDED","OK"),"N/A"))</x:f>
      </x:c>
      <x:c r="Q153" s="126" t="str">
        <x:f>IF(G153="","",IF(OR(B153="",D153="",I153="",J153=""),"ACTION NEEDED",IF(P153="ACTION NEEDED","ACTION NEEDED","OK")))</x:f>
      </x:c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126" t="str">
        <x:f>IF(G154="","","F"&amp;TEXT(ROW()-3,"000"))</x:f>
      </x:c>
      <x:c r="B154" s="119"/>
      <x:c r="C154" s="126" t="str">
        <x:f>IF(B154="","",IFERROR(INDEX(SOURCES!$C$4:$C$83,MATCH(B154,SOURCES!$A$4:$A$83,0))&amp;IF(INDEX(SOURCES!$D$4:$D$83,MATCH(B154,SOURCES!$A$4:$A$83,0))="",""," ("&amp;INDEX(SOURCES!$D$4:$D$83,MATCH(B154,SOURCES!$A$4:$A$83,0))&amp;")"),"Unknown source"))</x:f>
      </x:c>
      <x:c r="D154" s="119"/>
      <x:c r="E154" s="126" t="str">
        <x:f>IF(D154="","",IFERROR(INDEX(THEMES!$B$4:$B$15,MATCH(D154,THEMES!$A$4:$A$15,0)),"Unknown theme"))</x:f>
      </x:c>
      <x:c r="F154" s="119"/>
      <x:c r="G154" s="119"/>
      <x:c r="H154" s="119"/>
      <x:c r="I154" s="119"/>
      <x:c r="J154" s="119"/>
      <x:c r="K154" s="126" t="str">
        <x:f>IF(B154="","",IFERROR(INDEX(SOURCES!$K$4:$K$83,MATCH(B154,SOURCES!$A$4:$A$83,0)),""))</x:f>
      </x:c>
      <x:c r="L154" s="119"/>
      <x:c r="M154" s="119"/>
      <x:c r="N154" s="119"/>
      <x:c r="O154" s="119"/>
      <x:c r="P154" s="126" t="str">
        <x:f>IF(G154="","",IF(I154="Direct Quote",IF(H154="","ACTION NEEDED","OK"),"N/A"))</x:f>
      </x:c>
      <x:c r="Q154" s="126" t="str">
        <x:f>IF(G154="","",IF(OR(B154="",D154="",I154="",J154=""),"ACTION NEEDED",IF(P154="ACTION NEEDED","ACTION NEEDED","OK")))</x:f>
      </x:c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126" t="str">
        <x:f>IF(G155="","","F"&amp;TEXT(ROW()-3,"000"))</x:f>
      </x:c>
      <x:c r="B155" s="119"/>
      <x:c r="C155" s="126" t="str">
        <x:f>IF(B155="","",IFERROR(INDEX(SOURCES!$C$4:$C$83,MATCH(B155,SOURCES!$A$4:$A$83,0))&amp;IF(INDEX(SOURCES!$D$4:$D$83,MATCH(B155,SOURCES!$A$4:$A$83,0))="",""," ("&amp;INDEX(SOURCES!$D$4:$D$83,MATCH(B155,SOURCES!$A$4:$A$83,0))&amp;")"),"Unknown source"))</x:f>
      </x:c>
      <x:c r="D155" s="119"/>
      <x:c r="E155" s="126" t="str">
        <x:f>IF(D155="","",IFERROR(INDEX(THEMES!$B$4:$B$15,MATCH(D155,THEMES!$A$4:$A$15,0)),"Unknown theme"))</x:f>
      </x:c>
      <x:c r="F155" s="119"/>
      <x:c r="G155" s="119"/>
      <x:c r="H155" s="119"/>
      <x:c r="I155" s="119"/>
      <x:c r="J155" s="119"/>
      <x:c r="K155" s="126" t="str">
        <x:f>IF(B155="","",IFERROR(INDEX(SOURCES!$K$4:$K$83,MATCH(B155,SOURCES!$A$4:$A$83,0)),""))</x:f>
      </x:c>
      <x:c r="L155" s="119"/>
      <x:c r="M155" s="119"/>
      <x:c r="N155" s="119"/>
      <x:c r="O155" s="119"/>
      <x:c r="P155" s="126" t="str">
        <x:f>IF(G155="","",IF(I155="Direct Quote",IF(H155="","ACTION NEEDED","OK"),"N/A"))</x:f>
      </x:c>
      <x:c r="Q155" s="126" t="str">
        <x:f>IF(G155="","",IF(OR(B155="",D155="",I155="",J155=""),"ACTION NEEDED",IF(P155="ACTION NEEDED","ACTION NEEDED","OK")))</x:f>
      </x:c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126" t="str">
        <x:f>IF(G156="","","F"&amp;TEXT(ROW()-3,"000"))</x:f>
      </x:c>
      <x:c r="B156" s="119"/>
      <x:c r="C156" s="126" t="str">
        <x:f>IF(B156="","",IFERROR(INDEX(SOURCES!$C$4:$C$83,MATCH(B156,SOURCES!$A$4:$A$83,0))&amp;IF(INDEX(SOURCES!$D$4:$D$83,MATCH(B156,SOURCES!$A$4:$A$83,0))="",""," ("&amp;INDEX(SOURCES!$D$4:$D$83,MATCH(B156,SOURCES!$A$4:$A$83,0))&amp;")"),"Unknown source"))</x:f>
      </x:c>
      <x:c r="D156" s="119"/>
      <x:c r="E156" s="126" t="str">
        <x:f>IF(D156="","",IFERROR(INDEX(THEMES!$B$4:$B$15,MATCH(D156,THEMES!$A$4:$A$15,0)),"Unknown theme"))</x:f>
      </x:c>
      <x:c r="F156" s="119"/>
      <x:c r="G156" s="119"/>
      <x:c r="H156" s="119"/>
      <x:c r="I156" s="119"/>
      <x:c r="J156" s="119"/>
      <x:c r="K156" s="126" t="str">
        <x:f>IF(B156="","",IFERROR(INDEX(SOURCES!$K$4:$K$83,MATCH(B156,SOURCES!$A$4:$A$83,0)),""))</x:f>
      </x:c>
      <x:c r="L156" s="119"/>
      <x:c r="M156" s="119"/>
      <x:c r="N156" s="119"/>
      <x:c r="O156" s="119"/>
      <x:c r="P156" s="126" t="str">
        <x:f>IF(G156="","",IF(I156="Direct Quote",IF(H156="","ACTION NEEDED","OK"),"N/A"))</x:f>
      </x:c>
      <x:c r="Q156" s="126" t="str">
        <x:f>IF(G156="","",IF(OR(B156="",D156="",I156="",J156=""),"ACTION NEEDED",IF(P156="ACTION NEEDED","ACTION NEEDED","OK")))</x:f>
      </x:c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126" t="str">
        <x:f>IF(G157="","","F"&amp;TEXT(ROW()-3,"000"))</x:f>
      </x:c>
      <x:c r="B157" s="119"/>
      <x:c r="C157" s="126" t="str">
        <x:f>IF(B157="","",IFERROR(INDEX(SOURCES!$C$4:$C$83,MATCH(B157,SOURCES!$A$4:$A$83,0))&amp;IF(INDEX(SOURCES!$D$4:$D$83,MATCH(B157,SOURCES!$A$4:$A$83,0))="",""," ("&amp;INDEX(SOURCES!$D$4:$D$83,MATCH(B157,SOURCES!$A$4:$A$83,0))&amp;")"),"Unknown source"))</x:f>
      </x:c>
      <x:c r="D157" s="119"/>
      <x:c r="E157" s="126" t="str">
        <x:f>IF(D157="","",IFERROR(INDEX(THEMES!$B$4:$B$15,MATCH(D157,THEMES!$A$4:$A$15,0)),"Unknown theme"))</x:f>
      </x:c>
      <x:c r="F157" s="119"/>
      <x:c r="G157" s="119"/>
      <x:c r="H157" s="119"/>
      <x:c r="I157" s="119"/>
      <x:c r="J157" s="119"/>
      <x:c r="K157" s="126" t="str">
        <x:f>IF(B157="","",IFERROR(INDEX(SOURCES!$K$4:$K$83,MATCH(B157,SOURCES!$A$4:$A$83,0)),""))</x:f>
      </x:c>
      <x:c r="L157" s="119"/>
      <x:c r="M157" s="119"/>
      <x:c r="N157" s="119"/>
      <x:c r="O157" s="119"/>
      <x:c r="P157" s="126" t="str">
        <x:f>IF(G157="","",IF(I157="Direct Quote",IF(H157="","ACTION NEEDED","OK"),"N/A"))</x:f>
      </x:c>
      <x:c r="Q157" s="126" t="str">
        <x:f>IF(G157="","",IF(OR(B157="",D157="",I157="",J157=""),"ACTION NEEDED",IF(P157="ACTION NEEDED","ACTION NEEDED","OK")))</x:f>
      </x:c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126" t="str">
        <x:f>IF(G158="","","F"&amp;TEXT(ROW()-3,"000"))</x:f>
      </x:c>
      <x:c r="B158" s="119"/>
      <x:c r="C158" s="126" t="str">
        <x:f>IF(B158="","",IFERROR(INDEX(SOURCES!$C$4:$C$83,MATCH(B158,SOURCES!$A$4:$A$83,0))&amp;IF(INDEX(SOURCES!$D$4:$D$83,MATCH(B158,SOURCES!$A$4:$A$83,0))="",""," ("&amp;INDEX(SOURCES!$D$4:$D$83,MATCH(B158,SOURCES!$A$4:$A$83,0))&amp;")"),"Unknown source"))</x:f>
      </x:c>
      <x:c r="D158" s="119"/>
      <x:c r="E158" s="126" t="str">
        <x:f>IF(D158="","",IFERROR(INDEX(THEMES!$B$4:$B$15,MATCH(D158,THEMES!$A$4:$A$15,0)),"Unknown theme"))</x:f>
      </x:c>
      <x:c r="F158" s="119"/>
      <x:c r="G158" s="119"/>
      <x:c r="H158" s="119"/>
      <x:c r="I158" s="119"/>
      <x:c r="J158" s="119"/>
      <x:c r="K158" s="126" t="str">
        <x:f>IF(B158="","",IFERROR(INDEX(SOURCES!$K$4:$K$83,MATCH(B158,SOURCES!$A$4:$A$83,0)),""))</x:f>
      </x:c>
      <x:c r="L158" s="119"/>
      <x:c r="M158" s="119"/>
      <x:c r="N158" s="119"/>
      <x:c r="O158" s="119"/>
      <x:c r="P158" s="126" t="str">
        <x:f>IF(G158="","",IF(I158="Direct Quote",IF(H158="","ACTION NEEDED","OK"),"N/A"))</x:f>
      </x:c>
      <x:c r="Q158" s="126" t="str">
        <x:f>IF(G158="","",IF(OR(B158="",D158="",I158="",J158=""),"ACTION NEEDED",IF(P158="ACTION NEEDED","ACTION NEEDED","OK")))</x:f>
      </x:c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126" t="str">
        <x:f>IF(G159="","","F"&amp;TEXT(ROW()-3,"000"))</x:f>
      </x:c>
      <x:c r="B159" s="119"/>
      <x:c r="C159" s="126" t="str">
        <x:f>IF(B159="","",IFERROR(INDEX(SOURCES!$C$4:$C$83,MATCH(B159,SOURCES!$A$4:$A$83,0))&amp;IF(INDEX(SOURCES!$D$4:$D$83,MATCH(B159,SOURCES!$A$4:$A$83,0))="",""," ("&amp;INDEX(SOURCES!$D$4:$D$83,MATCH(B159,SOURCES!$A$4:$A$83,0))&amp;")"),"Unknown source"))</x:f>
      </x:c>
      <x:c r="D159" s="119"/>
      <x:c r="E159" s="126" t="str">
        <x:f>IF(D159="","",IFERROR(INDEX(THEMES!$B$4:$B$15,MATCH(D159,THEMES!$A$4:$A$15,0)),"Unknown theme"))</x:f>
      </x:c>
      <x:c r="F159" s="119"/>
      <x:c r="G159" s="119"/>
      <x:c r="H159" s="119"/>
      <x:c r="I159" s="119"/>
      <x:c r="J159" s="119"/>
      <x:c r="K159" s="126" t="str">
        <x:f>IF(B159="","",IFERROR(INDEX(SOURCES!$K$4:$K$83,MATCH(B159,SOURCES!$A$4:$A$83,0)),""))</x:f>
      </x:c>
      <x:c r="L159" s="119"/>
      <x:c r="M159" s="119"/>
      <x:c r="N159" s="119"/>
      <x:c r="O159" s="119"/>
      <x:c r="P159" s="126" t="str">
        <x:f>IF(G159="","",IF(I159="Direct Quote",IF(H159="","ACTION NEEDED","OK"),"N/A"))</x:f>
      </x:c>
      <x:c r="Q159" s="126" t="str">
        <x:f>IF(G159="","",IF(OR(B159="",D159="",I159="",J159=""),"ACTION NEEDED",IF(P159="ACTION NEEDED","ACTION NEEDED","OK")))</x:f>
      </x:c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126" t="str">
        <x:f>IF(G160="","","F"&amp;TEXT(ROW()-3,"000"))</x:f>
      </x:c>
      <x:c r="B160" s="119"/>
      <x:c r="C160" s="126" t="str">
        <x:f>IF(B160="","",IFERROR(INDEX(SOURCES!$C$4:$C$83,MATCH(B160,SOURCES!$A$4:$A$83,0))&amp;IF(INDEX(SOURCES!$D$4:$D$83,MATCH(B160,SOURCES!$A$4:$A$83,0))="",""," ("&amp;INDEX(SOURCES!$D$4:$D$83,MATCH(B160,SOURCES!$A$4:$A$83,0))&amp;")"),"Unknown source"))</x:f>
      </x:c>
      <x:c r="D160" s="119"/>
      <x:c r="E160" s="126" t="str">
        <x:f>IF(D160="","",IFERROR(INDEX(THEMES!$B$4:$B$15,MATCH(D160,THEMES!$A$4:$A$15,0)),"Unknown theme"))</x:f>
      </x:c>
      <x:c r="F160" s="119"/>
      <x:c r="G160" s="119"/>
      <x:c r="H160" s="119"/>
      <x:c r="I160" s="119"/>
      <x:c r="J160" s="119"/>
      <x:c r="K160" s="126" t="str">
        <x:f>IF(B160="","",IFERROR(INDEX(SOURCES!$K$4:$K$83,MATCH(B160,SOURCES!$A$4:$A$83,0)),""))</x:f>
      </x:c>
      <x:c r="L160" s="119"/>
      <x:c r="M160" s="119"/>
      <x:c r="N160" s="119"/>
      <x:c r="O160" s="119"/>
      <x:c r="P160" s="126" t="str">
        <x:f>IF(G160="","",IF(I160="Direct Quote",IF(H160="","ACTION NEEDED","OK"),"N/A"))</x:f>
      </x:c>
      <x:c r="Q160" s="126" t="str">
        <x:f>IF(G160="","",IF(OR(B160="",D160="",I160="",J160=""),"ACTION NEEDED",IF(P160="ACTION NEEDED","ACTION NEEDED","OK")))</x:f>
      </x:c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126" t="str">
        <x:f>IF(G161="","","F"&amp;TEXT(ROW()-3,"000"))</x:f>
      </x:c>
      <x:c r="B161" s="119"/>
      <x:c r="C161" s="126" t="str">
        <x:f>IF(B161="","",IFERROR(INDEX(SOURCES!$C$4:$C$83,MATCH(B161,SOURCES!$A$4:$A$83,0))&amp;IF(INDEX(SOURCES!$D$4:$D$83,MATCH(B161,SOURCES!$A$4:$A$83,0))="",""," ("&amp;INDEX(SOURCES!$D$4:$D$83,MATCH(B161,SOURCES!$A$4:$A$83,0))&amp;")"),"Unknown source"))</x:f>
      </x:c>
      <x:c r="D161" s="119"/>
      <x:c r="E161" s="126" t="str">
        <x:f>IF(D161="","",IFERROR(INDEX(THEMES!$B$4:$B$15,MATCH(D161,THEMES!$A$4:$A$15,0)),"Unknown theme"))</x:f>
      </x:c>
      <x:c r="F161" s="119"/>
      <x:c r="G161" s="119"/>
      <x:c r="H161" s="119"/>
      <x:c r="I161" s="119"/>
      <x:c r="J161" s="119"/>
      <x:c r="K161" s="126" t="str">
        <x:f>IF(B161="","",IFERROR(INDEX(SOURCES!$K$4:$K$83,MATCH(B161,SOURCES!$A$4:$A$83,0)),""))</x:f>
      </x:c>
      <x:c r="L161" s="119"/>
      <x:c r="M161" s="119"/>
      <x:c r="N161" s="119"/>
      <x:c r="O161" s="119"/>
      <x:c r="P161" s="126" t="str">
        <x:f>IF(G161="","",IF(I161="Direct Quote",IF(H161="","ACTION NEEDED","OK"),"N/A"))</x:f>
      </x:c>
      <x:c r="Q161" s="126" t="str">
        <x:f>IF(G161="","",IF(OR(B161="",D161="",I161="",J161=""),"ACTION NEEDED",IF(P161="ACTION NEEDED","ACTION NEEDED","OK")))</x:f>
      </x:c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126" t="str">
        <x:f>IF(G162="","","F"&amp;TEXT(ROW()-3,"000"))</x:f>
      </x:c>
      <x:c r="B162" s="119"/>
      <x:c r="C162" s="126" t="str">
        <x:f>IF(B162="","",IFERROR(INDEX(SOURCES!$C$4:$C$83,MATCH(B162,SOURCES!$A$4:$A$83,0))&amp;IF(INDEX(SOURCES!$D$4:$D$83,MATCH(B162,SOURCES!$A$4:$A$83,0))="",""," ("&amp;INDEX(SOURCES!$D$4:$D$83,MATCH(B162,SOURCES!$A$4:$A$83,0))&amp;")"),"Unknown source"))</x:f>
      </x:c>
      <x:c r="D162" s="119"/>
      <x:c r="E162" s="126" t="str">
        <x:f>IF(D162="","",IFERROR(INDEX(THEMES!$B$4:$B$15,MATCH(D162,THEMES!$A$4:$A$15,0)),"Unknown theme"))</x:f>
      </x:c>
      <x:c r="F162" s="119"/>
      <x:c r="G162" s="119"/>
      <x:c r="H162" s="119"/>
      <x:c r="I162" s="119"/>
      <x:c r="J162" s="119"/>
      <x:c r="K162" s="126" t="str">
        <x:f>IF(B162="","",IFERROR(INDEX(SOURCES!$K$4:$K$83,MATCH(B162,SOURCES!$A$4:$A$83,0)),""))</x:f>
      </x:c>
      <x:c r="L162" s="119"/>
      <x:c r="M162" s="119"/>
      <x:c r="N162" s="119"/>
      <x:c r="O162" s="119"/>
      <x:c r="P162" s="126" t="str">
        <x:f>IF(G162="","",IF(I162="Direct Quote",IF(H162="","ACTION NEEDED","OK"),"N/A"))</x:f>
      </x:c>
      <x:c r="Q162" s="126" t="str">
        <x:f>IF(G162="","",IF(OR(B162="",D162="",I162="",J162=""),"ACTION NEEDED",IF(P162="ACTION NEEDED","ACTION NEEDED","OK")))</x:f>
      </x:c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126" t="str">
        <x:f>IF(G163="","","F"&amp;TEXT(ROW()-3,"000"))</x:f>
      </x:c>
      <x:c r="B163" s="119"/>
      <x:c r="C163" s="126" t="str">
        <x:f>IF(B163="","",IFERROR(INDEX(SOURCES!$C$4:$C$83,MATCH(B163,SOURCES!$A$4:$A$83,0))&amp;IF(INDEX(SOURCES!$D$4:$D$83,MATCH(B163,SOURCES!$A$4:$A$83,0))="",""," ("&amp;INDEX(SOURCES!$D$4:$D$83,MATCH(B163,SOURCES!$A$4:$A$83,0))&amp;")"),"Unknown source"))</x:f>
      </x:c>
      <x:c r="D163" s="119"/>
      <x:c r="E163" s="126" t="str">
        <x:f>IF(D163="","",IFERROR(INDEX(THEMES!$B$4:$B$15,MATCH(D163,THEMES!$A$4:$A$15,0)),"Unknown theme"))</x:f>
      </x:c>
      <x:c r="F163" s="119"/>
      <x:c r="G163" s="119"/>
      <x:c r="H163" s="119"/>
      <x:c r="I163" s="119"/>
      <x:c r="J163" s="119"/>
      <x:c r="K163" s="126" t="str">
        <x:f>IF(B163="","",IFERROR(INDEX(SOURCES!$K$4:$K$83,MATCH(B163,SOURCES!$A$4:$A$83,0)),""))</x:f>
      </x:c>
      <x:c r="L163" s="119"/>
      <x:c r="M163" s="119"/>
      <x:c r="N163" s="119"/>
      <x:c r="O163" s="119"/>
      <x:c r="P163" s="126" t="str">
        <x:f>IF(G163="","",IF(I163="Direct Quote",IF(H163="","ACTION NEEDED","OK"),"N/A"))</x:f>
      </x:c>
      <x:c r="Q163" s="126" t="str">
        <x:f>IF(G163="","",IF(OR(B163="",D163="",I163="",J163=""),"ACTION NEEDED",IF(P163="ACTION NEEDED","ACTION NEEDED","OK")))</x:f>
      </x:c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126" t="str">
        <x:f>IF(G164="","","F"&amp;TEXT(ROW()-3,"000"))</x:f>
      </x:c>
      <x:c r="B164" s="119"/>
      <x:c r="C164" s="126" t="str">
        <x:f>IF(B164="","",IFERROR(INDEX(SOURCES!$C$4:$C$83,MATCH(B164,SOURCES!$A$4:$A$83,0))&amp;IF(INDEX(SOURCES!$D$4:$D$83,MATCH(B164,SOURCES!$A$4:$A$83,0))="",""," ("&amp;INDEX(SOURCES!$D$4:$D$83,MATCH(B164,SOURCES!$A$4:$A$83,0))&amp;")"),"Unknown source"))</x:f>
      </x:c>
      <x:c r="D164" s="119"/>
      <x:c r="E164" s="126" t="str">
        <x:f>IF(D164="","",IFERROR(INDEX(THEMES!$B$4:$B$15,MATCH(D164,THEMES!$A$4:$A$15,0)),"Unknown theme"))</x:f>
      </x:c>
      <x:c r="F164" s="119"/>
      <x:c r="G164" s="119"/>
      <x:c r="H164" s="119"/>
      <x:c r="I164" s="119"/>
      <x:c r="J164" s="119"/>
      <x:c r="K164" s="126" t="str">
        <x:f>IF(B164="","",IFERROR(INDEX(SOURCES!$K$4:$K$83,MATCH(B164,SOURCES!$A$4:$A$83,0)),""))</x:f>
      </x:c>
      <x:c r="L164" s="119"/>
      <x:c r="M164" s="119"/>
      <x:c r="N164" s="119"/>
      <x:c r="O164" s="119"/>
      <x:c r="P164" s="126" t="str">
        <x:f>IF(G164="","",IF(I164="Direct Quote",IF(H164="","ACTION NEEDED","OK"),"N/A"))</x:f>
      </x:c>
      <x:c r="Q164" s="126" t="str">
        <x:f>IF(G164="","",IF(OR(B164="",D164="",I164="",J164=""),"ACTION NEEDED",IF(P164="ACTION NEEDED","ACTION NEEDED","OK")))</x:f>
      </x:c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126" t="str">
        <x:f>IF(G165="","","F"&amp;TEXT(ROW()-3,"000"))</x:f>
      </x:c>
      <x:c r="B165" s="119"/>
      <x:c r="C165" s="126" t="str">
        <x:f>IF(B165="","",IFERROR(INDEX(SOURCES!$C$4:$C$83,MATCH(B165,SOURCES!$A$4:$A$83,0))&amp;IF(INDEX(SOURCES!$D$4:$D$83,MATCH(B165,SOURCES!$A$4:$A$83,0))="",""," ("&amp;INDEX(SOURCES!$D$4:$D$83,MATCH(B165,SOURCES!$A$4:$A$83,0))&amp;")"),"Unknown source"))</x:f>
      </x:c>
      <x:c r="D165" s="119"/>
      <x:c r="E165" s="126" t="str">
        <x:f>IF(D165="","",IFERROR(INDEX(THEMES!$B$4:$B$15,MATCH(D165,THEMES!$A$4:$A$15,0)),"Unknown theme"))</x:f>
      </x:c>
      <x:c r="F165" s="119"/>
      <x:c r="G165" s="119"/>
      <x:c r="H165" s="119"/>
      <x:c r="I165" s="119"/>
      <x:c r="J165" s="119"/>
      <x:c r="K165" s="126" t="str">
        <x:f>IF(B165="","",IFERROR(INDEX(SOURCES!$K$4:$K$83,MATCH(B165,SOURCES!$A$4:$A$83,0)),""))</x:f>
      </x:c>
      <x:c r="L165" s="119"/>
      <x:c r="M165" s="119"/>
      <x:c r="N165" s="119"/>
      <x:c r="O165" s="119"/>
      <x:c r="P165" s="126" t="str">
        <x:f>IF(G165="","",IF(I165="Direct Quote",IF(H165="","ACTION NEEDED","OK"),"N/A"))</x:f>
      </x:c>
      <x:c r="Q165" s="126" t="str">
        <x:f>IF(G165="","",IF(OR(B165="",D165="",I165="",J165=""),"ACTION NEEDED",IF(P165="ACTION NEEDED","ACTION NEEDED","OK")))</x:f>
      </x:c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126" t="str">
        <x:f>IF(G166="","","F"&amp;TEXT(ROW()-3,"000"))</x:f>
      </x:c>
      <x:c r="B166" s="119"/>
      <x:c r="C166" s="126" t="str">
        <x:f>IF(B166="","",IFERROR(INDEX(SOURCES!$C$4:$C$83,MATCH(B166,SOURCES!$A$4:$A$83,0))&amp;IF(INDEX(SOURCES!$D$4:$D$83,MATCH(B166,SOURCES!$A$4:$A$83,0))="",""," ("&amp;INDEX(SOURCES!$D$4:$D$83,MATCH(B166,SOURCES!$A$4:$A$83,0))&amp;")"),"Unknown source"))</x:f>
      </x:c>
      <x:c r="D166" s="119"/>
      <x:c r="E166" s="126" t="str">
        <x:f>IF(D166="","",IFERROR(INDEX(THEMES!$B$4:$B$15,MATCH(D166,THEMES!$A$4:$A$15,0)),"Unknown theme"))</x:f>
      </x:c>
      <x:c r="F166" s="119"/>
      <x:c r="G166" s="119"/>
      <x:c r="H166" s="119"/>
      <x:c r="I166" s="119"/>
      <x:c r="J166" s="119"/>
      <x:c r="K166" s="126" t="str">
        <x:f>IF(B166="","",IFERROR(INDEX(SOURCES!$K$4:$K$83,MATCH(B166,SOURCES!$A$4:$A$83,0)),""))</x:f>
      </x:c>
      <x:c r="L166" s="119"/>
      <x:c r="M166" s="119"/>
      <x:c r="N166" s="119"/>
      <x:c r="O166" s="119"/>
      <x:c r="P166" s="126" t="str">
        <x:f>IF(G166="","",IF(I166="Direct Quote",IF(H166="","ACTION NEEDED","OK"),"N/A"))</x:f>
      </x:c>
      <x:c r="Q166" s="126" t="str">
        <x:f>IF(G166="","",IF(OR(B166="",D166="",I166="",J166=""),"ACTION NEEDED",IF(P166="ACTION NEEDED","ACTION NEEDED","OK")))</x:f>
      </x:c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126" t="str">
        <x:f>IF(G167="","","F"&amp;TEXT(ROW()-3,"000"))</x:f>
      </x:c>
      <x:c r="B167" s="119"/>
      <x:c r="C167" s="126" t="str">
        <x:f>IF(B167="","",IFERROR(INDEX(SOURCES!$C$4:$C$83,MATCH(B167,SOURCES!$A$4:$A$83,0))&amp;IF(INDEX(SOURCES!$D$4:$D$83,MATCH(B167,SOURCES!$A$4:$A$83,0))="",""," ("&amp;INDEX(SOURCES!$D$4:$D$83,MATCH(B167,SOURCES!$A$4:$A$83,0))&amp;")"),"Unknown source"))</x:f>
      </x:c>
      <x:c r="D167" s="119"/>
      <x:c r="E167" s="126" t="str">
        <x:f>IF(D167="","",IFERROR(INDEX(THEMES!$B$4:$B$15,MATCH(D167,THEMES!$A$4:$A$15,0)),"Unknown theme"))</x:f>
      </x:c>
      <x:c r="F167" s="119"/>
      <x:c r="G167" s="119"/>
      <x:c r="H167" s="119"/>
      <x:c r="I167" s="119"/>
      <x:c r="J167" s="119"/>
      <x:c r="K167" s="126" t="str">
        <x:f>IF(B167="","",IFERROR(INDEX(SOURCES!$K$4:$K$83,MATCH(B167,SOURCES!$A$4:$A$83,0)),""))</x:f>
      </x:c>
      <x:c r="L167" s="119"/>
      <x:c r="M167" s="119"/>
      <x:c r="N167" s="119"/>
      <x:c r="O167" s="119"/>
      <x:c r="P167" s="126" t="str">
        <x:f>IF(G167="","",IF(I167="Direct Quote",IF(H167="","ACTION NEEDED","OK"),"N/A"))</x:f>
      </x:c>
      <x:c r="Q167" s="126" t="str">
        <x:f>IF(G167="","",IF(OR(B167="",D167="",I167="",J167=""),"ACTION NEEDED",IF(P167="ACTION NEEDED","ACTION NEEDED","OK")))</x:f>
      </x:c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126" t="str">
        <x:f>IF(G168="","","F"&amp;TEXT(ROW()-3,"000"))</x:f>
      </x:c>
      <x:c r="B168" s="119"/>
      <x:c r="C168" s="126" t="str">
        <x:f>IF(B168="","",IFERROR(INDEX(SOURCES!$C$4:$C$83,MATCH(B168,SOURCES!$A$4:$A$83,0))&amp;IF(INDEX(SOURCES!$D$4:$D$83,MATCH(B168,SOURCES!$A$4:$A$83,0))="",""," ("&amp;INDEX(SOURCES!$D$4:$D$83,MATCH(B168,SOURCES!$A$4:$A$83,0))&amp;")"),"Unknown source"))</x:f>
      </x:c>
      <x:c r="D168" s="119"/>
      <x:c r="E168" s="126" t="str">
        <x:f>IF(D168="","",IFERROR(INDEX(THEMES!$B$4:$B$15,MATCH(D168,THEMES!$A$4:$A$15,0)),"Unknown theme"))</x:f>
      </x:c>
      <x:c r="F168" s="119"/>
      <x:c r="G168" s="119"/>
      <x:c r="H168" s="119"/>
      <x:c r="I168" s="119"/>
      <x:c r="J168" s="119"/>
      <x:c r="K168" s="126" t="str">
        <x:f>IF(B168="","",IFERROR(INDEX(SOURCES!$K$4:$K$83,MATCH(B168,SOURCES!$A$4:$A$83,0)),""))</x:f>
      </x:c>
      <x:c r="L168" s="119"/>
      <x:c r="M168" s="119"/>
      <x:c r="N168" s="119"/>
      <x:c r="O168" s="119"/>
      <x:c r="P168" s="126" t="str">
        <x:f>IF(G168="","",IF(I168="Direct Quote",IF(H168="","ACTION NEEDED","OK"),"N/A"))</x:f>
      </x:c>
      <x:c r="Q168" s="126" t="str">
        <x:f>IF(G168="","",IF(OR(B168="",D168="",I168="",J168=""),"ACTION NEEDED",IF(P168="ACTION NEEDED","ACTION NEEDED","OK")))</x:f>
      </x:c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126" t="str">
        <x:f>IF(G169="","","F"&amp;TEXT(ROW()-3,"000"))</x:f>
      </x:c>
      <x:c r="B169" s="119"/>
      <x:c r="C169" s="126" t="str">
        <x:f>IF(B169="","",IFERROR(INDEX(SOURCES!$C$4:$C$83,MATCH(B169,SOURCES!$A$4:$A$83,0))&amp;IF(INDEX(SOURCES!$D$4:$D$83,MATCH(B169,SOURCES!$A$4:$A$83,0))="",""," ("&amp;INDEX(SOURCES!$D$4:$D$83,MATCH(B169,SOURCES!$A$4:$A$83,0))&amp;")"),"Unknown source"))</x:f>
      </x:c>
      <x:c r="D169" s="119"/>
      <x:c r="E169" s="126" t="str">
        <x:f>IF(D169="","",IFERROR(INDEX(THEMES!$B$4:$B$15,MATCH(D169,THEMES!$A$4:$A$15,0)),"Unknown theme"))</x:f>
      </x:c>
      <x:c r="F169" s="119"/>
      <x:c r="G169" s="119"/>
      <x:c r="H169" s="119"/>
      <x:c r="I169" s="119"/>
      <x:c r="J169" s="119"/>
      <x:c r="K169" s="126" t="str">
        <x:f>IF(B169="","",IFERROR(INDEX(SOURCES!$K$4:$K$83,MATCH(B169,SOURCES!$A$4:$A$83,0)),""))</x:f>
      </x:c>
      <x:c r="L169" s="119"/>
      <x:c r="M169" s="119"/>
      <x:c r="N169" s="119"/>
      <x:c r="O169" s="119"/>
      <x:c r="P169" s="126" t="str">
        <x:f>IF(G169="","",IF(I169="Direct Quote",IF(H169="","ACTION NEEDED","OK"),"N/A"))</x:f>
      </x:c>
      <x:c r="Q169" s="126" t="str">
        <x:f>IF(G169="","",IF(OR(B169="",D169="",I169="",J169=""),"ACTION NEEDED",IF(P169="ACTION NEEDED","ACTION NEEDED","OK")))</x:f>
      </x:c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126" t="str">
        <x:f>IF(G170="","","F"&amp;TEXT(ROW()-3,"000"))</x:f>
      </x:c>
      <x:c r="B170" s="119"/>
      <x:c r="C170" s="126" t="str">
        <x:f>IF(B170="","",IFERROR(INDEX(SOURCES!$C$4:$C$83,MATCH(B170,SOURCES!$A$4:$A$83,0))&amp;IF(INDEX(SOURCES!$D$4:$D$83,MATCH(B170,SOURCES!$A$4:$A$83,0))="",""," ("&amp;INDEX(SOURCES!$D$4:$D$83,MATCH(B170,SOURCES!$A$4:$A$83,0))&amp;")"),"Unknown source"))</x:f>
      </x:c>
      <x:c r="D170" s="119"/>
      <x:c r="E170" s="126" t="str">
        <x:f>IF(D170="","",IFERROR(INDEX(THEMES!$B$4:$B$15,MATCH(D170,THEMES!$A$4:$A$15,0)),"Unknown theme"))</x:f>
      </x:c>
      <x:c r="F170" s="119"/>
      <x:c r="G170" s="119"/>
      <x:c r="H170" s="119"/>
      <x:c r="I170" s="119"/>
      <x:c r="J170" s="119"/>
      <x:c r="K170" s="126" t="str">
        <x:f>IF(B170="","",IFERROR(INDEX(SOURCES!$K$4:$K$83,MATCH(B170,SOURCES!$A$4:$A$83,0)),""))</x:f>
      </x:c>
      <x:c r="L170" s="119"/>
      <x:c r="M170" s="119"/>
      <x:c r="N170" s="119"/>
      <x:c r="O170" s="119"/>
      <x:c r="P170" s="126" t="str">
        <x:f>IF(G170="","",IF(I170="Direct Quote",IF(H170="","ACTION NEEDED","OK"),"N/A"))</x:f>
      </x:c>
      <x:c r="Q170" s="126" t="str">
        <x:f>IF(G170="","",IF(OR(B170="",D170="",I170="",J170=""),"ACTION NEEDED",IF(P170="ACTION NEEDED","ACTION NEEDED","OK")))</x:f>
      </x:c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126" t="str">
        <x:f>IF(G171="","","F"&amp;TEXT(ROW()-3,"000"))</x:f>
      </x:c>
      <x:c r="B171" s="119"/>
      <x:c r="C171" s="126" t="str">
        <x:f>IF(B171="","",IFERROR(INDEX(SOURCES!$C$4:$C$83,MATCH(B171,SOURCES!$A$4:$A$83,0))&amp;IF(INDEX(SOURCES!$D$4:$D$83,MATCH(B171,SOURCES!$A$4:$A$83,0))="",""," ("&amp;INDEX(SOURCES!$D$4:$D$83,MATCH(B171,SOURCES!$A$4:$A$83,0))&amp;")"),"Unknown source"))</x:f>
      </x:c>
      <x:c r="D171" s="119"/>
      <x:c r="E171" s="126" t="str">
        <x:f>IF(D171="","",IFERROR(INDEX(THEMES!$B$4:$B$15,MATCH(D171,THEMES!$A$4:$A$15,0)),"Unknown theme"))</x:f>
      </x:c>
      <x:c r="F171" s="119"/>
      <x:c r="G171" s="119"/>
      <x:c r="H171" s="119"/>
      <x:c r="I171" s="119"/>
      <x:c r="J171" s="119"/>
      <x:c r="K171" s="126" t="str">
        <x:f>IF(B171="","",IFERROR(INDEX(SOURCES!$K$4:$K$83,MATCH(B171,SOURCES!$A$4:$A$83,0)),""))</x:f>
      </x:c>
      <x:c r="L171" s="119"/>
      <x:c r="M171" s="119"/>
      <x:c r="N171" s="119"/>
      <x:c r="O171" s="119"/>
      <x:c r="P171" s="126" t="str">
        <x:f>IF(G171="","",IF(I171="Direct Quote",IF(H171="","ACTION NEEDED","OK"),"N/A"))</x:f>
      </x:c>
      <x:c r="Q171" s="126" t="str">
        <x:f>IF(G171="","",IF(OR(B171="",D171="",I171="",J171=""),"ACTION NEEDED",IF(P171="ACTION NEEDED","ACTION NEEDED","OK")))</x:f>
      </x:c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126" t="str">
        <x:f>IF(G172="","","F"&amp;TEXT(ROW()-3,"000"))</x:f>
      </x:c>
      <x:c r="B172" s="119"/>
      <x:c r="C172" s="126" t="str">
        <x:f>IF(B172="","",IFERROR(INDEX(SOURCES!$C$4:$C$83,MATCH(B172,SOURCES!$A$4:$A$83,0))&amp;IF(INDEX(SOURCES!$D$4:$D$83,MATCH(B172,SOURCES!$A$4:$A$83,0))="",""," ("&amp;INDEX(SOURCES!$D$4:$D$83,MATCH(B172,SOURCES!$A$4:$A$83,0))&amp;")"),"Unknown source"))</x:f>
      </x:c>
      <x:c r="D172" s="119"/>
      <x:c r="E172" s="126" t="str">
        <x:f>IF(D172="","",IFERROR(INDEX(THEMES!$B$4:$B$15,MATCH(D172,THEMES!$A$4:$A$15,0)),"Unknown theme"))</x:f>
      </x:c>
      <x:c r="F172" s="119"/>
      <x:c r="G172" s="119"/>
      <x:c r="H172" s="119"/>
      <x:c r="I172" s="119"/>
      <x:c r="J172" s="119"/>
      <x:c r="K172" s="126" t="str">
        <x:f>IF(B172="","",IFERROR(INDEX(SOURCES!$K$4:$K$83,MATCH(B172,SOURCES!$A$4:$A$83,0)),""))</x:f>
      </x:c>
      <x:c r="L172" s="119"/>
      <x:c r="M172" s="119"/>
      <x:c r="N172" s="119"/>
      <x:c r="O172" s="119"/>
      <x:c r="P172" s="126" t="str">
        <x:f>IF(G172="","",IF(I172="Direct Quote",IF(H172="","ACTION NEEDED","OK"),"N/A"))</x:f>
      </x:c>
      <x:c r="Q172" s="126" t="str">
        <x:f>IF(G172="","",IF(OR(B172="",D172="",I172="",J172=""),"ACTION NEEDED",IF(P172="ACTION NEEDED","ACTION NEEDED","OK")))</x:f>
      </x:c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126" t="str">
        <x:f>IF(G173="","","F"&amp;TEXT(ROW()-3,"000"))</x:f>
      </x:c>
      <x:c r="B173" s="119"/>
      <x:c r="C173" s="126" t="str">
        <x:f>IF(B173="","",IFERROR(INDEX(SOURCES!$C$4:$C$83,MATCH(B173,SOURCES!$A$4:$A$83,0))&amp;IF(INDEX(SOURCES!$D$4:$D$83,MATCH(B173,SOURCES!$A$4:$A$83,0))="",""," ("&amp;INDEX(SOURCES!$D$4:$D$83,MATCH(B173,SOURCES!$A$4:$A$83,0))&amp;")"),"Unknown source"))</x:f>
      </x:c>
      <x:c r="D173" s="119"/>
      <x:c r="E173" s="126" t="str">
        <x:f>IF(D173="","",IFERROR(INDEX(THEMES!$B$4:$B$15,MATCH(D173,THEMES!$A$4:$A$15,0)),"Unknown theme"))</x:f>
      </x:c>
      <x:c r="F173" s="119"/>
      <x:c r="G173" s="119"/>
      <x:c r="H173" s="119"/>
      <x:c r="I173" s="119"/>
      <x:c r="J173" s="119"/>
      <x:c r="K173" s="126" t="str">
        <x:f>IF(B173="","",IFERROR(INDEX(SOURCES!$K$4:$K$83,MATCH(B173,SOURCES!$A$4:$A$83,0)),""))</x:f>
      </x:c>
      <x:c r="L173" s="119"/>
      <x:c r="M173" s="119"/>
      <x:c r="N173" s="119"/>
      <x:c r="O173" s="119"/>
      <x:c r="P173" s="126" t="str">
        <x:f>IF(G173="","",IF(I173="Direct Quote",IF(H173="","ACTION NEEDED","OK"),"N/A"))</x:f>
      </x:c>
      <x:c r="Q173" s="126" t="str">
        <x:f>IF(G173="","",IF(OR(B173="",D173="",I173="",J173=""),"ACTION NEEDED",IF(P173="ACTION NEEDED","ACTION NEEDED","OK")))</x:f>
      </x:c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126" t="str">
        <x:f>IF(G174="","","F"&amp;TEXT(ROW()-3,"000"))</x:f>
      </x:c>
      <x:c r="B174" s="119"/>
      <x:c r="C174" s="126" t="str">
        <x:f>IF(B174="","",IFERROR(INDEX(SOURCES!$C$4:$C$83,MATCH(B174,SOURCES!$A$4:$A$83,0))&amp;IF(INDEX(SOURCES!$D$4:$D$83,MATCH(B174,SOURCES!$A$4:$A$83,0))="",""," ("&amp;INDEX(SOURCES!$D$4:$D$83,MATCH(B174,SOURCES!$A$4:$A$83,0))&amp;")"),"Unknown source"))</x:f>
      </x:c>
      <x:c r="D174" s="119"/>
      <x:c r="E174" s="126" t="str">
        <x:f>IF(D174="","",IFERROR(INDEX(THEMES!$B$4:$B$15,MATCH(D174,THEMES!$A$4:$A$15,0)),"Unknown theme"))</x:f>
      </x:c>
      <x:c r="F174" s="119"/>
      <x:c r="G174" s="119"/>
      <x:c r="H174" s="119"/>
      <x:c r="I174" s="119"/>
      <x:c r="J174" s="119"/>
      <x:c r="K174" s="126" t="str">
        <x:f>IF(B174="","",IFERROR(INDEX(SOURCES!$K$4:$K$83,MATCH(B174,SOURCES!$A$4:$A$83,0)),""))</x:f>
      </x:c>
      <x:c r="L174" s="119"/>
      <x:c r="M174" s="119"/>
      <x:c r="N174" s="119"/>
      <x:c r="O174" s="119"/>
      <x:c r="P174" s="126" t="str">
        <x:f>IF(G174="","",IF(I174="Direct Quote",IF(H174="","ACTION NEEDED","OK"),"N/A"))</x:f>
      </x:c>
      <x:c r="Q174" s="126" t="str">
        <x:f>IF(G174="","",IF(OR(B174="",D174="",I174="",J174=""),"ACTION NEEDED",IF(P174="ACTION NEEDED","ACTION NEEDED","OK")))</x:f>
      </x:c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126" t="str">
        <x:f>IF(G175="","","F"&amp;TEXT(ROW()-3,"000"))</x:f>
      </x:c>
      <x:c r="B175" s="119"/>
      <x:c r="C175" s="126" t="str">
        <x:f>IF(B175="","",IFERROR(INDEX(SOURCES!$C$4:$C$83,MATCH(B175,SOURCES!$A$4:$A$83,0))&amp;IF(INDEX(SOURCES!$D$4:$D$83,MATCH(B175,SOURCES!$A$4:$A$83,0))="",""," ("&amp;INDEX(SOURCES!$D$4:$D$83,MATCH(B175,SOURCES!$A$4:$A$83,0))&amp;")"),"Unknown source"))</x:f>
      </x:c>
      <x:c r="D175" s="119"/>
      <x:c r="E175" s="126" t="str">
        <x:f>IF(D175="","",IFERROR(INDEX(THEMES!$B$4:$B$15,MATCH(D175,THEMES!$A$4:$A$15,0)),"Unknown theme"))</x:f>
      </x:c>
      <x:c r="F175" s="119"/>
      <x:c r="G175" s="119"/>
      <x:c r="H175" s="119"/>
      <x:c r="I175" s="119"/>
      <x:c r="J175" s="119"/>
      <x:c r="K175" s="126" t="str">
        <x:f>IF(B175="","",IFERROR(INDEX(SOURCES!$K$4:$K$83,MATCH(B175,SOURCES!$A$4:$A$83,0)),""))</x:f>
      </x:c>
      <x:c r="L175" s="119"/>
      <x:c r="M175" s="119"/>
      <x:c r="N175" s="119"/>
      <x:c r="O175" s="119"/>
      <x:c r="P175" s="126" t="str">
        <x:f>IF(G175="","",IF(I175="Direct Quote",IF(H175="","ACTION NEEDED","OK"),"N/A"))</x:f>
      </x:c>
      <x:c r="Q175" s="126" t="str">
        <x:f>IF(G175="","",IF(OR(B175="",D175="",I175="",J175=""),"ACTION NEEDED",IF(P175="ACTION NEEDED","ACTION NEEDED","OK")))</x:f>
      </x:c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126" t="str">
        <x:f>IF(G176="","","F"&amp;TEXT(ROW()-3,"000"))</x:f>
      </x:c>
      <x:c r="B176" s="119"/>
      <x:c r="C176" s="126" t="str">
        <x:f>IF(B176="","",IFERROR(INDEX(SOURCES!$C$4:$C$83,MATCH(B176,SOURCES!$A$4:$A$83,0))&amp;IF(INDEX(SOURCES!$D$4:$D$83,MATCH(B176,SOURCES!$A$4:$A$83,0))="",""," ("&amp;INDEX(SOURCES!$D$4:$D$83,MATCH(B176,SOURCES!$A$4:$A$83,0))&amp;")"),"Unknown source"))</x:f>
      </x:c>
      <x:c r="D176" s="119"/>
      <x:c r="E176" s="126" t="str">
        <x:f>IF(D176="","",IFERROR(INDEX(THEMES!$B$4:$B$15,MATCH(D176,THEMES!$A$4:$A$15,0)),"Unknown theme"))</x:f>
      </x:c>
      <x:c r="F176" s="119"/>
      <x:c r="G176" s="119"/>
      <x:c r="H176" s="119"/>
      <x:c r="I176" s="119"/>
      <x:c r="J176" s="119"/>
      <x:c r="K176" s="126" t="str">
        <x:f>IF(B176="","",IFERROR(INDEX(SOURCES!$K$4:$K$83,MATCH(B176,SOURCES!$A$4:$A$83,0)),""))</x:f>
      </x:c>
      <x:c r="L176" s="119"/>
      <x:c r="M176" s="119"/>
      <x:c r="N176" s="119"/>
      <x:c r="O176" s="119"/>
      <x:c r="P176" s="126" t="str">
        <x:f>IF(G176="","",IF(I176="Direct Quote",IF(H176="","ACTION NEEDED","OK"),"N/A"))</x:f>
      </x:c>
      <x:c r="Q176" s="126" t="str">
        <x:f>IF(G176="","",IF(OR(B176="",D176="",I176="",J176=""),"ACTION NEEDED",IF(P176="ACTION NEEDED","ACTION NEEDED","OK")))</x:f>
      </x:c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126" t="str">
        <x:f>IF(G177="","","F"&amp;TEXT(ROW()-3,"000"))</x:f>
      </x:c>
      <x:c r="B177" s="119"/>
      <x:c r="C177" s="126" t="str">
        <x:f>IF(B177="","",IFERROR(INDEX(SOURCES!$C$4:$C$83,MATCH(B177,SOURCES!$A$4:$A$83,0))&amp;IF(INDEX(SOURCES!$D$4:$D$83,MATCH(B177,SOURCES!$A$4:$A$83,0))="",""," ("&amp;INDEX(SOURCES!$D$4:$D$83,MATCH(B177,SOURCES!$A$4:$A$83,0))&amp;")"),"Unknown source"))</x:f>
      </x:c>
      <x:c r="D177" s="119"/>
      <x:c r="E177" s="126" t="str">
        <x:f>IF(D177="","",IFERROR(INDEX(THEMES!$B$4:$B$15,MATCH(D177,THEMES!$A$4:$A$15,0)),"Unknown theme"))</x:f>
      </x:c>
      <x:c r="F177" s="119"/>
      <x:c r="G177" s="119"/>
      <x:c r="H177" s="119"/>
      <x:c r="I177" s="119"/>
      <x:c r="J177" s="119"/>
      <x:c r="K177" s="126" t="str">
        <x:f>IF(B177="","",IFERROR(INDEX(SOURCES!$K$4:$K$83,MATCH(B177,SOURCES!$A$4:$A$83,0)),""))</x:f>
      </x:c>
      <x:c r="L177" s="119"/>
      <x:c r="M177" s="119"/>
      <x:c r="N177" s="119"/>
      <x:c r="O177" s="119"/>
      <x:c r="P177" s="126" t="str">
        <x:f>IF(G177="","",IF(I177="Direct Quote",IF(H177="","ACTION NEEDED","OK"),"N/A"))</x:f>
      </x:c>
      <x:c r="Q177" s="126" t="str">
        <x:f>IF(G177="","",IF(OR(B177="",D177="",I177="",J177=""),"ACTION NEEDED",IF(P177="ACTION NEEDED","ACTION NEEDED","OK")))</x:f>
      </x:c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126" t="str">
        <x:f>IF(G178="","","F"&amp;TEXT(ROW()-3,"000"))</x:f>
      </x:c>
      <x:c r="B178" s="119"/>
      <x:c r="C178" s="126" t="str">
        <x:f>IF(B178="","",IFERROR(INDEX(SOURCES!$C$4:$C$83,MATCH(B178,SOURCES!$A$4:$A$83,0))&amp;IF(INDEX(SOURCES!$D$4:$D$83,MATCH(B178,SOURCES!$A$4:$A$83,0))="",""," ("&amp;INDEX(SOURCES!$D$4:$D$83,MATCH(B178,SOURCES!$A$4:$A$83,0))&amp;")"),"Unknown source"))</x:f>
      </x:c>
      <x:c r="D178" s="119"/>
      <x:c r="E178" s="126" t="str">
        <x:f>IF(D178="","",IFERROR(INDEX(THEMES!$B$4:$B$15,MATCH(D178,THEMES!$A$4:$A$15,0)),"Unknown theme"))</x:f>
      </x:c>
      <x:c r="F178" s="119"/>
      <x:c r="G178" s="119"/>
      <x:c r="H178" s="119"/>
      <x:c r="I178" s="119"/>
      <x:c r="J178" s="119"/>
      <x:c r="K178" s="126" t="str">
        <x:f>IF(B178="","",IFERROR(INDEX(SOURCES!$K$4:$K$83,MATCH(B178,SOURCES!$A$4:$A$83,0)),""))</x:f>
      </x:c>
      <x:c r="L178" s="119"/>
      <x:c r="M178" s="119"/>
      <x:c r="N178" s="119"/>
      <x:c r="O178" s="119"/>
      <x:c r="P178" s="126" t="str">
        <x:f>IF(G178="","",IF(I178="Direct Quote",IF(H178="","ACTION NEEDED","OK"),"N/A"))</x:f>
      </x:c>
      <x:c r="Q178" s="126" t="str">
        <x:f>IF(G178="","",IF(OR(B178="",D178="",I178="",J178=""),"ACTION NEEDED",IF(P178="ACTION NEEDED","ACTION NEEDED","OK")))</x:f>
      </x:c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126" t="str">
        <x:f>IF(G179="","","F"&amp;TEXT(ROW()-3,"000"))</x:f>
      </x:c>
      <x:c r="B179" s="119"/>
      <x:c r="C179" s="126" t="str">
        <x:f>IF(B179="","",IFERROR(INDEX(SOURCES!$C$4:$C$83,MATCH(B179,SOURCES!$A$4:$A$83,0))&amp;IF(INDEX(SOURCES!$D$4:$D$83,MATCH(B179,SOURCES!$A$4:$A$83,0))="",""," ("&amp;INDEX(SOURCES!$D$4:$D$83,MATCH(B179,SOURCES!$A$4:$A$83,0))&amp;")"),"Unknown source"))</x:f>
      </x:c>
      <x:c r="D179" s="119"/>
      <x:c r="E179" s="126" t="str">
        <x:f>IF(D179="","",IFERROR(INDEX(THEMES!$B$4:$B$15,MATCH(D179,THEMES!$A$4:$A$15,0)),"Unknown theme"))</x:f>
      </x:c>
      <x:c r="F179" s="119"/>
      <x:c r="G179" s="119"/>
      <x:c r="H179" s="119"/>
      <x:c r="I179" s="119"/>
      <x:c r="J179" s="119"/>
      <x:c r="K179" s="126" t="str">
        <x:f>IF(B179="","",IFERROR(INDEX(SOURCES!$K$4:$K$83,MATCH(B179,SOURCES!$A$4:$A$83,0)),""))</x:f>
      </x:c>
      <x:c r="L179" s="119"/>
      <x:c r="M179" s="119"/>
      <x:c r="N179" s="119"/>
      <x:c r="O179" s="119"/>
      <x:c r="P179" s="126" t="str">
        <x:f>IF(G179="","",IF(I179="Direct Quote",IF(H179="","ACTION NEEDED","OK"),"N/A"))</x:f>
      </x:c>
      <x:c r="Q179" s="126" t="str">
        <x:f>IF(G179="","",IF(OR(B179="",D179="",I179="",J179=""),"ACTION NEEDED",IF(P179="ACTION NEEDED","ACTION NEEDED","OK")))</x:f>
      </x:c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126" t="str">
        <x:f>IF(G180="","","F"&amp;TEXT(ROW()-3,"000"))</x:f>
      </x:c>
      <x:c r="B180" s="119"/>
      <x:c r="C180" s="126" t="str">
        <x:f>IF(B180="","",IFERROR(INDEX(SOURCES!$C$4:$C$83,MATCH(B180,SOURCES!$A$4:$A$83,0))&amp;IF(INDEX(SOURCES!$D$4:$D$83,MATCH(B180,SOURCES!$A$4:$A$83,0))="",""," ("&amp;INDEX(SOURCES!$D$4:$D$83,MATCH(B180,SOURCES!$A$4:$A$83,0))&amp;")"),"Unknown source"))</x:f>
      </x:c>
      <x:c r="D180" s="119"/>
      <x:c r="E180" s="126" t="str">
        <x:f>IF(D180="","",IFERROR(INDEX(THEMES!$B$4:$B$15,MATCH(D180,THEMES!$A$4:$A$15,0)),"Unknown theme"))</x:f>
      </x:c>
      <x:c r="F180" s="119"/>
      <x:c r="G180" s="119"/>
      <x:c r="H180" s="119"/>
      <x:c r="I180" s="119"/>
      <x:c r="J180" s="119"/>
      <x:c r="K180" s="126" t="str">
        <x:f>IF(B180="","",IFERROR(INDEX(SOURCES!$K$4:$K$83,MATCH(B180,SOURCES!$A$4:$A$83,0)),""))</x:f>
      </x:c>
      <x:c r="L180" s="119"/>
      <x:c r="M180" s="119"/>
      <x:c r="N180" s="119"/>
      <x:c r="O180" s="119"/>
      <x:c r="P180" s="126" t="str">
        <x:f>IF(G180="","",IF(I180="Direct Quote",IF(H180="","ACTION NEEDED","OK"),"N/A"))</x:f>
      </x:c>
      <x:c r="Q180" s="126" t="str">
        <x:f>IF(G180="","",IF(OR(B180="",D180="",I180="",J180=""),"ACTION NEEDED",IF(P180="ACTION NEEDED","ACTION NEEDED","OK")))</x:f>
      </x:c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126" t="str">
        <x:f>IF(G181="","","F"&amp;TEXT(ROW()-3,"000"))</x:f>
      </x:c>
      <x:c r="B181" s="119"/>
      <x:c r="C181" s="126" t="str">
        <x:f>IF(B181="","",IFERROR(INDEX(SOURCES!$C$4:$C$83,MATCH(B181,SOURCES!$A$4:$A$83,0))&amp;IF(INDEX(SOURCES!$D$4:$D$83,MATCH(B181,SOURCES!$A$4:$A$83,0))="",""," ("&amp;INDEX(SOURCES!$D$4:$D$83,MATCH(B181,SOURCES!$A$4:$A$83,0))&amp;")"),"Unknown source"))</x:f>
      </x:c>
      <x:c r="D181" s="119"/>
      <x:c r="E181" s="126" t="str">
        <x:f>IF(D181="","",IFERROR(INDEX(THEMES!$B$4:$B$15,MATCH(D181,THEMES!$A$4:$A$15,0)),"Unknown theme"))</x:f>
      </x:c>
      <x:c r="F181" s="119"/>
      <x:c r="G181" s="119"/>
      <x:c r="H181" s="119"/>
      <x:c r="I181" s="119"/>
      <x:c r="J181" s="119"/>
      <x:c r="K181" s="126" t="str">
        <x:f>IF(B181="","",IFERROR(INDEX(SOURCES!$K$4:$K$83,MATCH(B181,SOURCES!$A$4:$A$83,0)),""))</x:f>
      </x:c>
      <x:c r="L181" s="119"/>
      <x:c r="M181" s="119"/>
      <x:c r="N181" s="119"/>
      <x:c r="O181" s="119"/>
      <x:c r="P181" s="126" t="str">
        <x:f>IF(G181="","",IF(I181="Direct Quote",IF(H181="","ACTION NEEDED","OK"),"N/A"))</x:f>
      </x:c>
      <x:c r="Q181" s="126" t="str">
        <x:f>IF(G181="","",IF(OR(B181="",D181="",I181="",J181=""),"ACTION NEEDED",IF(P181="ACTION NEEDED","ACTION NEEDED","OK")))</x:f>
      </x:c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126" t="str">
        <x:f>IF(G182="","","F"&amp;TEXT(ROW()-3,"000"))</x:f>
      </x:c>
      <x:c r="B182" s="119"/>
      <x:c r="C182" s="126" t="str">
        <x:f>IF(B182="","",IFERROR(INDEX(SOURCES!$C$4:$C$83,MATCH(B182,SOURCES!$A$4:$A$83,0))&amp;IF(INDEX(SOURCES!$D$4:$D$83,MATCH(B182,SOURCES!$A$4:$A$83,0))="",""," ("&amp;INDEX(SOURCES!$D$4:$D$83,MATCH(B182,SOURCES!$A$4:$A$83,0))&amp;")"),"Unknown source"))</x:f>
      </x:c>
      <x:c r="D182" s="119"/>
      <x:c r="E182" s="126" t="str">
        <x:f>IF(D182="","",IFERROR(INDEX(THEMES!$B$4:$B$15,MATCH(D182,THEMES!$A$4:$A$15,0)),"Unknown theme"))</x:f>
      </x:c>
      <x:c r="F182" s="119"/>
      <x:c r="G182" s="119"/>
      <x:c r="H182" s="119"/>
      <x:c r="I182" s="119"/>
      <x:c r="J182" s="119"/>
      <x:c r="K182" s="126" t="str">
        <x:f>IF(B182="","",IFERROR(INDEX(SOURCES!$K$4:$K$83,MATCH(B182,SOURCES!$A$4:$A$83,0)),""))</x:f>
      </x:c>
      <x:c r="L182" s="119"/>
      <x:c r="M182" s="119"/>
      <x:c r="N182" s="119"/>
      <x:c r="O182" s="119"/>
      <x:c r="P182" s="126" t="str">
        <x:f>IF(G182="","",IF(I182="Direct Quote",IF(H182="","ACTION NEEDED","OK"),"N/A"))</x:f>
      </x:c>
      <x:c r="Q182" s="126" t="str">
        <x:f>IF(G182="","",IF(OR(B182="",D182="",I182="",J182=""),"ACTION NEEDED",IF(P182="ACTION NEEDED","ACTION NEEDED","OK")))</x:f>
      </x:c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126" t="str">
        <x:f>IF(G183="","","F"&amp;TEXT(ROW()-3,"000"))</x:f>
      </x:c>
      <x:c r="B183" s="119"/>
      <x:c r="C183" s="126" t="str">
        <x:f>IF(B183="","",IFERROR(INDEX(SOURCES!$C$4:$C$83,MATCH(B183,SOURCES!$A$4:$A$83,0))&amp;IF(INDEX(SOURCES!$D$4:$D$83,MATCH(B183,SOURCES!$A$4:$A$83,0))="",""," ("&amp;INDEX(SOURCES!$D$4:$D$83,MATCH(B183,SOURCES!$A$4:$A$83,0))&amp;")"),"Unknown source"))</x:f>
      </x:c>
      <x:c r="D183" s="119"/>
      <x:c r="E183" s="126" t="str">
        <x:f>IF(D183="","",IFERROR(INDEX(THEMES!$B$4:$B$15,MATCH(D183,THEMES!$A$4:$A$15,0)),"Unknown theme"))</x:f>
      </x:c>
      <x:c r="F183" s="119"/>
      <x:c r="G183" s="119"/>
      <x:c r="H183" s="119"/>
      <x:c r="I183" s="119"/>
      <x:c r="J183" s="119"/>
      <x:c r="K183" s="126" t="str">
        <x:f>IF(B183="","",IFERROR(INDEX(SOURCES!$K$4:$K$83,MATCH(B183,SOURCES!$A$4:$A$83,0)),""))</x:f>
      </x:c>
      <x:c r="L183" s="119"/>
      <x:c r="M183" s="119"/>
      <x:c r="N183" s="119"/>
      <x:c r="O183" s="119"/>
      <x:c r="P183" s="126" t="str">
        <x:f>IF(G183="","",IF(I183="Direct Quote",IF(H183="","ACTION NEEDED","OK"),"N/A"))</x:f>
      </x:c>
      <x:c r="Q183" s="126" t="str">
        <x:f>IF(G183="","",IF(OR(B183="",D183="",I183="",J183=""),"ACTION NEEDED",IF(P183="ACTION NEEDED","ACTION NEEDED","OK")))</x:f>
      </x:c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126" t="str">
        <x:f>IF(G184="","","F"&amp;TEXT(ROW()-3,"000"))</x:f>
      </x:c>
      <x:c r="B184" s="119"/>
      <x:c r="C184" s="126" t="str">
        <x:f>IF(B184="","",IFERROR(INDEX(SOURCES!$C$4:$C$83,MATCH(B184,SOURCES!$A$4:$A$83,0))&amp;IF(INDEX(SOURCES!$D$4:$D$83,MATCH(B184,SOURCES!$A$4:$A$83,0))="",""," ("&amp;INDEX(SOURCES!$D$4:$D$83,MATCH(B184,SOURCES!$A$4:$A$83,0))&amp;")"),"Unknown source"))</x:f>
      </x:c>
      <x:c r="D184" s="119"/>
      <x:c r="E184" s="126" t="str">
        <x:f>IF(D184="","",IFERROR(INDEX(THEMES!$B$4:$B$15,MATCH(D184,THEMES!$A$4:$A$15,0)),"Unknown theme"))</x:f>
      </x:c>
      <x:c r="F184" s="119"/>
      <x:c r="G184" s="119"/>
      <x:c r="H184" s="119"/>
      <x:c r="I184" s="119"/>
      <x:c r="J184" s="119"/>
      <x:c r="K184" s="126" t="str">
        <x:f>IF(B184="","",IFERROR(INDEX(SOURCES!$K$4:$K$83,MATCH(B184,SOURCES!$A$4:$A$83,0)),""))</x:f>
      </x:c>
      <x:c r="L184" s="119"/>
      <x:c r="M184" s="119"/>
      <x:c r="N184" s="119"/>
      <x:c r="O184" s="119"/>
      <x:c r="P184" s="126" t="str">
        <x:f>IF(G184="","",IF(I184="Direct Quote",IF(H184="","ACTION NEEDED","OK"),"N/A"))</x:f>
      </x:c>
      <x:c r="Q184" s="126" t="str">
        <x:f>IF(G184="","",IF(OR(B184="",D184="",I184="",J184=""),"ACTION NEEDED",IF(P184="ACTION NEEDED","ACTION NEEDED","OK")))</x:f>
      </x:c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126" t="str">
        <x:f>IF(G185="","","F"&amp;TEXT(ROW()-3,"000"))</x:f>
      </x:c>
      <x:c r="B185" s="119"/>
      <x:c r="C185" s="126" t="str">
        <x:f>IF(B185="","",IFERROR(INDEX(SOURCES!$C$4:$C$83,MATCH(B185,SOURCES!$A$4:$A$83,0))&amp;IF(INDEX(SOURCES!$D$4:$D$83,MATCH(B185,SOURCES!$A$4:$A$83,0))="",""," ("&amp;INDEX(SOURCES!$D$4:$D$83,MATCH(B185,SOURCES!$A$4:$A$83,0))&amp;")"),"Unknown source"))</x:f>
      </x:c>
      <x:c r="D185" s="119"/>
      <x:c r="E185" s="126" t="str">
        <x:f>IF(D185="","",IFERROR(INDEX(THEMES!$B$4:$B$15,MATCH(D185,THEMES!$A$4:$A$15,0)),"Unknown theme"))</x:f>
      </x:c>
      <x:c r="F185" s="119"/>
      <x:c r="G185" s="119"/>
      <x:c r="H185" s="119"/>
      <x:c r="I185" s="119"/>
      <x:c r="J185" s="119"/>
      <x:c r="K185" s="126" t="str">
        <x:f>IF(B185="","",IFERROR(INDEX(SOURCES!$K$4:$K$83,MATCH(B185,SOURCES!$A$4:$A$83,0)),""))</x:f>
      </x:c>
      <x:c r="L185" s="119"/>
      <x:c r="M185" s="119"/>
      <x:c r="N185" s="119"/>
      <x:c r="O185" s="119"/>
      <x:c r="P185" s="126" t="str">
        <x:f>IF(G185="","",IF(I185="Direct Quote",IF(H185="","ACTION NEEDED","OK"),"N/A"))</x:f>
      </x:c>
      <x:c r="Q185" s="126" t="str">
        <x:f>IF(G185="","",IF(OR(B185="",D185="",I185="",J185=""),"ACTION NEEDED",IF(P185="ACTION NEEDED","ACTION NEEDED","OK")))</x:f>
      </x:c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126" t="str">
        <x:f>IF(G186="","","F"&amp;TEXT(ROW()-3,"000"))</x:f>
      </x:c>
      <x:c r="B186" s="119"/>
      <x:c r="C186" s="126" t="str">
        <x:f>IF(B186="","",IFERROR(INDEX(SOURCES!$C$4:$C$83,MATCH(B186,SOURCES!$A$4:$A$83,0))&amp;IF(INDEX(SOURCES!$D$4:$D$83,MATCH(B186,SOURCES!$A$4:$A$83,0))="",""," ("&amp;INDEX(SOURCES!$D$4:$D$83,MATCH(B186,SOURCES!$A$4:$A$83,0))&amp;")"),"Unknown source"))</x:f>
      </x:c>
      <x:c r="D186" s="119"/>
      <x:c r="E186" s="126" t="str">
        <x:f>IF(D186="","",IFERROR(INDEX(THEMES!$B$4:$B$15,MATCH(D186,THEMES!$A$4:$A$15,0)),"Unknown theme"))</x:f>
      </x:c>
      <x:c r="F186" s="119"/>
      <x:c r="G186" s="119"/>
      <x:c r="H186" s="119"/>
      <x:c r="I186" s="119"/>
      <x:c r="J186" s="119"/>
      <x:c r="K186" s="126" t="str">
        <x:f>IF(B186="","",IFERROR(INDEX(SOURCES!$K$4:$K$83,MATCH(B186,SOURCES!$A$4:$A$83,0)),""))</x:f>
      </x:c>
      <x:c r="L186" s="119"/>
      <x:c r="M186" s="119"/>
      <x:c r="N186" s="119"/>
      <x:c r="O186" s="119"/>
      <x:c r="P186" s="126" t="str">
        <x:f>IF(G186="","",IF(I186="Direct Quote",IF(H186="","ACTION NEEDED","OK"),"N/A"))</x:f>
      </x:c>
      <x:c r="Q186" s="126" t="str">
        <x:f>IF(G186="","",IF(OR(B186="",D186="",I186="",J186=""),"ACTION NEEDED",IF(P186="ACTION NEEDED","ACTION NEEDED","OK")))</x:f>
      </x:c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126" t="str">
        <x:f>IF(G187="","","F"&amp;TEXT(ROW()-3,"000"))</x:f>
      </x:c>
      <x:c r="B187" s="119"/>
      <x:c r="C187" s="126" t="str">
        <x:f>IF(B187="","",IFERROR(INDEX(SOURCES!$C$4:$C$83,MATCH(B187,SOURCES!$A$4:$A$83,0))&amp;IF(INDEX(SOURCES!$D$4:$D$83,MATCH(B187,SOURCES!$A$4:$A$83,0))="",""," ("&amp;INDEX(SOURCES!$D$4:$D$83,MATCH(B187,SOURCES!$A$4:$A$83,0))&amp;")"),"Unknown source"))</x:f>
      </x:c>
      <x:c r="D187" s="119"/>
      <x:c r="E187" s="126" t="str">
        <x:f>IF(D187="","",IFERROR(INDEX(THEMES!$B$4:$B$15,MATCH(D187,THEMES!$A$4:$A$15,0)),"Unknown theme"))</x:f>
      </x:c>
      <x:c r="F187" s="119"/>
      <x:c r="G187" s="119"/>
      <x:c r="H187" s="119"/>
      <x:c r="I187" s="119"/>
      <x:c r="J187" s="119"/>
      <x:c r="K187" s="126" t="str">
        <x:f>IF(B187="","",IFERROR(INDEX(SOURCES!$K$4:$K$83,MATCH(B187,SOURCES!$A$4:$A$83,0)),""))</x:f>
      </x:c>
      <x:c r="L187" s="119"/>
      <x:c r="M187" s="119"/>
      <x:c r="N187" s="119"/>
      <x:c r="O187" s="119"/>
      <x:c r="P187" s="126" t="str">
        <x:f>IF(G187="","",IF(I187="Direct Quote",IF(H187="","ACTION NEEDED","OK"),"N/A"))</x:f>
      </x:c>
      <x:c r="Q187" s="126" t="str">
        <x:f>IF(G187="","",IF(OR(B187="",D187="",I187="",J187=""),"ACTION NEEDED",IF(P187="ACTION NEEDED","ACTION NEEDED","OK")))</x:f>
      </x:c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126" t="str">
        <x:f>IF(G188="","","F"&amp;TEXT(ROW()-3,"000"))</x:f>
      </x:c>
      <x:c r="B188" s="119"/>
      <x:c r="C188" s="126" t="str">
        <x:f>IF(B188="","",IFERROR(INDEX(SOURCES!$C$4:$C$83,MATCH(B188,SOURCES!$A$4:$A$83,0))&amp;IF(INDEX(SOURCES!$D$4:$D$83,MATCH(B188,SOURCES!$A$4:$A$83,0))="",""," ("&amp;INDEX(SOURCES!$D$4:$D$83,MATCH(B188,SOURCES!$A$4:$A$83,0))&amp;")"),"Unknown source"))</x:f>
      </x:c>
      <x:c r="D188" s="119"/>
      <x:c r="E188" s="126" t="str">
        <x:f>IF(D188="","",IFERROR(INDEX(THEMES!$B$4:$B$15,MATCH(D188,THEMES!$A$4:$A$15,0)),"Unknown theme"))</x:f>
      </x:c>
      <x:c r="F188" s="119"/>
      <x:c r="G188" s="119"/>
      <x:c r="H188" s="119"/>
      <x:c r="I188" s="119"/>
      <x:c r="J188" s="119"/>
      <x:c r="K188" s="126" t="str">
        <x:f>IF(B188="","",IFERROR(INDEX(SOURCES!$K$4:$K$83,MATCH(B188,SOURCES!$A$4:$A$83,0)),""))</x:f>
      </x:c>
      <x:c r="L188" s="119"/>
      <x:c r="M188" s="119"/>
      <x:c r="N188" s="119"/>
      <x:c r="O188" s="119"/>
      <x:c r="P188" s="126" t="str">
        <x:f>IF(G188="","",IF(I188="Direct Quote",IF(H188="","ACTION NEEDED","OK"),"N/A"))</x:f>
      </x:c>
      <x:c r="Q188" s="126" t="str">
        <x:f>IF(G188="","",IF(OR(B188="",D188="",I188="",J188=""),"ACTION NEEDED",IF(P188="ACTION NEEDED","ACTION NEEDED","OK")))</x:f>
      </x:c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126" t="str">
        <x:f>IF(G189="","","F"&amp;TEXT(ROW()-3,"000"))</x:f>
      </x:c>
      <x:c r="B189" s="119"/>
      <x:c r="C189" s="126" t="str">
        <x:f>IF(B189="","",IFERROR(INDEX(SOURCES!$C$4:$C$83,MATCH(B189,SOURCES!$A$4:$A$83,0))&amp;IF(INDEX(SOURCES!$D$4:$D$83,MATCH(B189,SOURCES!$A$4:$A$83,0))="",""," ("&amp;INDEX(SOURCES!$D$4:$D$83,MATCH(B189,SOURCES!$A$4:$A$83,0))&amp;")"),"Unknown source"))</x:f>
      </x:c>
      <x:c r="D189" s="119"/>
      <x:c r="E189" s="126" t="str">
        <x:f>IF(D189="","",IFERROR(INDEX(THEMES!$B$4:$B$15,MATCH(D189,THEMES!$A$4:$A$15,0)),"Unknown theme"))</x:f>
      </x:c>
      <x:c r="F189" s="119"/>
      <x:c r="G189" s="119"/>
      <x:c r="H189" s="119"/>
      <x:c r="I189" s="119"/>
      <x:c r="J189" s="119"/>
      <x:c r="K189" s="126" t="str">
        <x:f>IF(B189="","",IFERROR(INDEX(SOURCES!$K$4:$K$83,MATCH(B189,SOURCES!$A$4:$A$83,0)),""))</x:f>
      </x:c>
      <x:c r="L189" s="119"/>
      <x:c r="M189" s="119"/>
      <x:c r="N189" s="119"/>
      <x:c r="O189" s="119"/>
      <x:c r="P189" s="126" t="str">
        <x:f>IF(G189="","",IF(I189="Direct Quote",IF(H189="","ACTION NEEDED","OK"),"N/A"))</x:f>
      </x:c>
      <x:c r="Q189" s="126" t="str">
        <x:f>IF(G189="","",IF(OR(B189="",D189="",I189="",J189=""),"ACTION NEEDED",IF(P189="ACTION NEEDED","ACTION NEEDED","OK")))</x:f>
      </x:c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126" t="str">
        <x:f>IF(G190="","","F"&amp;TEXT(ROW()-3,"000"))</x:f>
      </x:c>
      <x:c r="B190" s="119"/>
      <x:c r="C190" s="126" t="str">
        <x:f>IF(B190="","",IFERROR(INDEX(SOURCES!$C$4:$C$83,MATCH(B190,SOURCES!$A$4:$A$83,0))&amp;IF(INDEX(SOURCES!$D$4:$D$83,MATCH(B190,SOURCES!$A$4:$A$83,0))="",""," ("&amp;INDEX(SOURCES!$D$4:$D$83,MATCH(B190,SOURCES!$A$4:$A$83,0))&amp;")"),"Unknown source"))</x:f>
      </x:c>
      <x:c r="D190" s="119"/>
      <x:c r="E190" s="126" t="str">
        <x:f>IF(D190="","",IFERROR(INDEX(THEMES!$B$4:$B$15,MATCH(D190,THEMES!$A$4:$A$15,0)),"Unknown theme"))</x:f>
      </x:c>
      <x:c r="F190" s="119"/>
      <x:c r="G190" s="119"/>
      <x:c r="H190" s="119"/>
      <x:c r="I190" s="119"/>
      <x:c r="J190" s="119"/>
      <x:c r="K190" s="126" t="str">
        <x:f>IF(B190="","",IFERROR(INDEX(SOURCES!$K$4:$K$83,MATCH(B190,SOURCES!$A$4:$A$83,0)),""))</x:f>
      </x:c>
      <x:c r="L190" s="119"/>
      <x:c r="M190" s="119"/>
      <x:c r="N190" s="119"/>
      <x:c r="O190" s="119"/>
      <x:c r="P190" s="126" t="str">
        <x:f>IF(G190="","",IF(I190="Direct Quote",IF(H190="","ACTION NEEDED","OK"),"N/A"))</x:f>
      </x:c>
      <x:c r="Q190" s="126" t="str">
        <x:f>IF(G190="","",IF(OR(B190="",D190="",I190="",J190=""),"ACTION NEEDED",IF(P190="ACTION NEEDED","ACTION NEEDED","OK")))</x:f>
      </x:c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126" t="str">
        <x:f>IF(G191="","","F"&amp;TEXT(ROW()-3,"000"))</x:f>
      </x:c>
      <x:c r="B191" s="119"/>
      <x:c r="C191" s="126" t="str">
        <x:f>IF(B191="","",IFERROR(INDEX(SOURCES!$C$4:$C$83,MATCH(B191,SOURCES!$A$4:$A$83,0))&amp;IF(INDEX(SOURCES!$D$4:$D$83,MATCH(B191,SOURCES!$A$4:$A$83,0))="",""," ("&amp;INDEX(SOURCES!$D$4:$D$83,MATCH(B191,SOURCES!$A$4:$A$83,0))&amp;")"),"Unknown source"))</x:f>
      </x:c>
      <x:c r="D191" s="119"/>
      <x:c r="E191" s="126" t="str">
        <x:f>IF(D191="","",IFERROR(INDEX(THEMES!$B$4:$B$15,MATCH(D191,THEMES!$A$4:$A$15,0)),"Unknown theme"))</x:f>
      </x:c>
      <x:c r="F191" s="119"/>
      <x:c r="G191" s="119"/>
      <x:c r="H191" s="119"/>
      <x:c r="I191" s="119"/>
      <x:c r="J191" s="119"/>
      <x:c r="K191" s="126" t="str">
        <x:f>IF(B191="","",IFERROR(INDEX(SOURCES!$K$4:$K$83,MATCH(B191,SOURCES!$A$4:$A$83,0)),""))</x:f>
      </x:c>
      <x:c r="L191" s="119"/>
      <x:c r="M191" s="119"/>
      <x:c r="N191" s="119"/>
      <x:c r="O191" s="119"/>
      <x:c r="P191" s="126" t="str">
        <x:f>IF(G191="","",IF(I191="Direct Quote",IF(H191="","ACTION NEEDED","OK"),"N/A"))</x:f>
      </x:c>
      <x:c r="Q191" s="126" t="str">
        <x:f>IF(G191="","",IF(OR(B191="",D191="",I191="",J191=""),"ACTION NEEDED",IF(P191="ACTION NEEDED","ACTION NEEDED","OK")))</x:f>
      </x:c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126" t="str">
        <x:f>IF(G192="","","F"&amp;TEXT(ROW()-3,"000"))</x:f>
      </x:c>
      <x:c r="B192" s="119"/>
      <x:c r="C192" s="126" t="str">
        <x:f>IF(B192="","",IFERROR(INDEX(SOURCES!$C$4:$C$83,MATCH(B192,SOURCES!$A$4:$A$83,0))&amp;IF(INDEX(SOURCES!$D$4:$D$83,MATCH(B192,SOURCES!$A$4:$A$83,0))="",""," ("&amp;INDEX(SOURCES!$D$4:$D$83,MATCH(B192,SOURCES!$A$4:$A$83,0))&amp;")"),"Unknown source"))</x:f>
      </x:c>
      <x:c r="D192" s="119"/>
      <x:c r="E192" s="126" t="str">
        <x:f>IF(D192="","",IFERROR(INDEX(THEMES!$B$4:$B$15,MATCH(D192,THEMES!$A$4:$A$15,0)),"Unknown theme"))</x:f>
      </x:c>
      <x:c r="F192" s="119"/>
      <x:c r="G192" s="119"/>
      <x:c r="H192" s="119"/>
      <x:c r="I192" s="119"/>
      <x:c r="J192" s="119"/>
      <x:c r="K192" s="126" t="str">
        <x:f>IF(B192="","",IFERROR(INDEX(SOURCES!$K$4:$K$83,MATCH(B192,SOURCES!$A$4:$A$83,0)),""))</x:f>
      </x:c>
      <x:c r="L192" s="119"/>
      <x:c r="M192" s="119"/>
      <x:c r="N192" s="119"/>
      <x:c r="O192" s="119"/>
      <x:c r="P192" s="126" t="str">
        <x:f>IF(G192="","",IF(I192="Direct Quote",IF(H192="","ACTION NEEDED","OK"),"N/A"))</x:f>
      </x:c>
      <x:c r="Q192" s="126" t="str">
        <x:f>IF(G192="","",IF(OR(B192="",D192="",I192="",J192=""),"ACTION NEEDED",IF(P192="ACTION NEEDED","ACTION NEEDED","OK")))</x:f>
      </x:c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126" t="str">
        <x:f>IF(G193="","","F"&amp;TEXT(ROW()-3,"000"))</x:f>
      </x:c>
      <x:c r="B193" s="119"/>
      <x:c r="C193" s="126" t="str">
        <x:f>IF(B193="","",IFERROR(INDEX(SOURCES!$C$4:$C$83,MATCH(B193,SOURCES!$A$4:$A$83,0))&amp;IF(INDEX(SOURCES!$D$4:$D$83,MATCH(B193,SOURCES!$A$4:$A$83,0))="",""," ("&amp;INDEX(SOURCES!$D$4:$D$83,MATCH(B193,SOURCES!$A$4:$A$83,0))&amp;")"),"Unknown source"))</x:f>
      </x:c>
      <x:c r="D193" s="119"/>
      <x:c r="E193" s="126" t="str">
        <x:f>IF(D193="","",IFERROR(INDEX(THEMES!$B$4:$B$15,MATCH(D193,THEMES!$A$4:$A$15,0)),"Unknown theme"))</x:f>
      </x:c>
      <x:c r="F193" s="119"/>
      <x:c r="G193" s="119"/>
      <x:c r="H193" s="119"/>
      <x:c r="I193" s="119"/>
      <x:c r="J193" s="119"/>
      <x:c r="K193" s="126" t="str">
        <x:f>IF(B193="","",IFERROR(INDEX(SOURCES!$K$4:$K$83,MATCH(B193,SOURCES!$A$4:$A$83,0)),""))</x:f>
      </x:c>
      <x:c r="L193" s="119"/>
      <x:c r="M193" s="119"/>
      <x:c r="N193" s="119"/>
      <x:c r="O193" s="119"/>
      <x:c r="P193" s="126" t="str">
        <x:f>IF(G193="","",IF(I193="Direct Quote",IF(H193="","ACTION NEEDED","OK"),"N/A"))</x:f>
      </x:c>
      <x:c r="Q193" s="126" t="str">
        <x:f>IF(G193="","",IF(OR(B193="",D193="",I193="",J193=""),"ACTION NEEDED",IF(P193="ACTION NEEDED","ACTION NEEDED","OK")))</x:f>
      </x:c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126" t="str">
        <x:f>IF(G194="","","F"&amp;TEXT(ROW()-3,"000"))</x:f>
      </x:c>
      <x:c r="B194" s="119"/>
      <x:c r="C194" s="126" t="str">
        <x:f>IF(B194="","",IFERROR(INDEX(SOURCES!$C$4:$C$83,MATCH(B194,SOURCES!$A$4:$A$83,0))&amp;IF(INDEX(SOURCES!$D$4:$D$83,MATCH(B194,SOURCES!$A$4:$A$83,0))="",""," ("&amp;INDEX(SOURCES!$D$4:$D$83,MATCH(B194,SOURCES!$A$4:$A$83,0))&amp;")"),"Unknown source"))</x:f>
      </x:c>
      <x:c r="D194" s="119"/>
      <x:c r="E194" s="126" t="str">
        <x:f>IF(D194="","",IFERROR(INDEX(THEMES!$B$4:$B$15,MATCH(D194,THEMES!$A$4:$A$15,0)),"Unknown theme"))</x:f>
      </x:c>
      <x:c r="F194" s="119"/>
      <x:c r="G194" s="119"/>
      <x:c r="H194" s="119"/>
      <x:c r="I194" s="119"/>
      <x:c r="J194" s="119"/>
      <x:c r="K194" s="126" t="str">
        <x:f>IF(B194="","",IFERROR(INDEX(SOURCES!$K$4:$K$83,MATCH(B194,SOURCES!$A$4:$A$83,0)),""))</x:f>
      </x:c>
      <x:c r="L194" s="119"/>
      <x:c r="M194" s="119"/>
      <x:c r="N194" s="119"/>
      <x:c r="O194" s="119"/>
      <x:c r="P194" s="126" t="str">
        <x:f>IF(G194="","",IF(I194="Direct Quote",IF(H194="","ACTION NEEDED","OK"),"N/A"))</x:f>
      </x:c>
      <x:c r="Q194" s="126" t="str">
        <x:f>IF(G194="","",IF(OR(B194="",D194="",I194="",J194=""),"ACTION NEEDED",IF(P194="ACTION NEEDED","ACTION NEEDED","OK")))</x:f>
      </x:c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126" t="str">
        <x:f>IF(G195="","","F"&amp;TEXT(ROW()-3,"000"))</x:f>
      </x:c>
      <x:c r="B195" s="119"/>
      <x:c r="C195" s="126" t="str">
        <x:f>IF(B195="","",IFERROR(INDEX(SOURCES!$C$4:$C$83,MATCH(B195,SOURCES!$A$4:$A$83,0))&amp;IF(INDEX(SOURCES!$D$4:$D$83,MATCH(B195,SOURCES!$A$4:$A$83,0))="",""," ("&amp;INDEX(SOURCES!$D$4:$D$83,MATCH(B195,SOURCES!$A$4:$A$83,0))&amp;")"),"Unknown source"))</x:f>
      </x:c>
      <x:c r="D195" s="119"/>
      <x:c r="E195" s="126" t="str">
        <x:f>IF(D195="","",IFERROR(INDEX(THEMES!$B$4:$B$15,MATCH(D195,THEMES!$A$4:$A$15,0)),"Unknown theme"))</x:f>
      </x:c>
      <x:c r="F195" s="119"/>
      <x:c r="G195" s="119"/>
      <x:c r="H195" s="119"/>
      <x:c r="I195" s="119"/>
      <x:c r="J195" s="119"/>
      <x:c r="K195" s="126" t="str">
        <x:f>IF(B195="","",IFERROR(INDEX(SOURCES!$K$4:$K$83,MATCH(B195,SOURCES!$A$4:$A$83,0)),""))</x:f>
      </x:c>
      <x:c r="L195" s="119"/>
      <x:c r="M195" s="119"/>
      <x:c r="N195" s="119"/>
      <x:c r="O195" s="119"/>
      <x:c r="P195" s="126" t="str">
        <x:f>IF(G195="","",IF(I195="Direct Quote",IF(H195="","ACTION NEEDED","OK"),"N/A"))</x:f>
      </x:c>
      <x:c r="Q195" s="126" t="str">
        <x:f>IF(G195="","",IF(OR(B195="",D195="",I195="",J195=""),"ACTION NEEDED",IF(P195="ACTION NEEDED","ACTION NEEDED","OK")))</x:f>
      </x:c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126" t="str">
        <x:f>IF(G196="","","F"&amp;TEXT(ROW()-3,"000"))</x:f>
      </x:c>
      <x:c r="B196" s="119"/>
      <x:c r="C196" s="126" t="str">
        <x:f>IF(B196="","",IFERROR(INDEX(SOURCES!$C$4:$C$83,MATCH(B196,SOURCES!$A$4:$A$83,0))&amp;IF(INDEX(SOURCES!$D$4:$D$83,MATCH(B196,SOURCES!$A$4:$A$83,0))="",""," ("&amp;INDEX(SOURCES!$D$4:$D$83,MATCH(B196,SOURCES!$A$4:$A$83,0))&amp;")"),"Unknown source"))</x:f>
      </x:c>
      <x:c r="D196" s="119"/>
      <x:c r="E196" s="126" t="str">
        <x:f>IF(D196="","",IFERROR(INDEX(THEMES!$B$4:$B$15,MATCH(D196,THEMES!$A$4:$A$15,0)),"Unknown theme"))</x:f>
      </x:c>
      <x:c r="F196" s="119"/>
      <x:c r="G196" s="119"/>
      <x:c r="H196" s="119"/>
      <x:c r="I196" s="119"/>
      <x:c r="J196" s="119"/>
      <x:c r="K196" s="126" t="str">
        <x:f>IF(B196="","",IFERROR(INDEX(SOURCES!$K$4:$K$83,MATCH(B196,SOURCES!$A$4:$A$83,0)),""))</x:f>
      </x:c>
      <x:c r="L196" s="119"/>
      <x:c r="M196" s="119"/>
      <x:c r="N196" s="119"/>
      <x:c r="O196" s="119"/>
      <x:c r="P196" s="126" t="str">
        <x:f>IF(G196="","",IF(I196="Direct Quote",IF(H196="","ACTION NEEDED","OK"),"N/A"))</x:f>
      </x:c>
      <x:c r="Q196" s="126" t="str">
        <x:f>IF(G196="","",IF(OR(B196="",D196="",I196="",J196=""),"ACTION NEEDED",IF(P196="ACTION NEEDED","ACTION NEEDED","OK")))</x:f>
      </x:c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126" t="str">
        <x:f>IF(G197="","","F"&amp;TEXT(ROW()-3,"000"))</x:f>
      </x:c>
      <x:c r="B197" s="119"/>
      <x:c r="C197" s="126" t="str">
        <x:f>IF(B197="","",IFERROR(INDEX(SOURCES!$C$4:$C$83,MATCH(B197,SOURCES!$A$4:$A$83,0))&amp;IF(INDEX(SOURCES!$D$4:$D$83,MATCH(B197,SOURCES!$A$4:$A$83,0))="",""," ("&amp;INDEX(SOURCES!$D$4:$D$83,MATCH(B197,SOURCES!$A$4:$A$83,0))&amp;")"),"Unknown source"))</x:f>
      </x:c>
      <x:c r="D197" s="119"/>
      <x:c r="E197" s="126" t="str">
        <x:f>IF(D197="","",IFERROR(INDEX(THEMES!$B$4:$B$15,MATCH(D197,THEMES!$A$4:$A$15,0)),"Unknown theme"))</x:f>
      </x:c>
      <x:c r="F197" s="119"/>
      <x:c r="G197" s="119"/>
      <x:c r="H197" s="119"/>
      <x:c r="I197" s="119"/>
      <x:c r="J197" s="119"/>
      <x:c r="K197" s="126" t="str">
        <x:f>IF(B197="","",IFERROR(INDEX(SOURCES!$K$4:$K$83,MATCH(B197,SOURCES!$A$4:$A$83,0)),""))</x:f>
      </x:c>
      <x:c r="L197" s="119"/>
      <x:c r="M197" s="119"/>
      <x:c r="N197" s="119"/>
      <x:c r="O197" s="119"/>
      <x:c r="P197" s="126" t="str">
        <x:f>IF(G197="","",IF(I197="Direct Quote",IF(H197="","ACTION NEEDED","OK"),"N/A"))</x:f>
      </x:c>
      <x:c r="Q197" s="126" t="str">
        <x:f>IF(G197="","",IF(OR(B197="",D197="",I197="",J197=""),"ACTION NEEDED",IF(P197="ACTION NEEDED","ACTION NEEDED","OK")))</x:f>
      </x:c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126" t="str">
        <x:f>IF(G198="","","F"&amp;TEXT(ROW()-3,"000"))</x:f>
      </x:c>
      <x:c r="B198" s="119"/>
      <x:c r="C198" s="126" t="str">
        <x:f>IF(B198="","",IFERROR(INDEX(SOURCES!$C$4:$C$83,MATCH(B198,SOURCES!$A$4:$A$83,0))&amp;IF(INDEX(SOURCES!$D$4:$D$83,MATCH(B198,SOURCES!$A$4:$A$83,0))="",""," ("&amp;INDEX(SOURCES!$D$4:$D$83,MATCH(B198,SOURCES!$A$4:$A$83,0))&amp;")"),"Unknown source"))</x:f>
      </x:c>
      <x:c r="D198" s="119"/>
      <x:c r="E198" s="126" t="str">
        <x:f>IF(D198="","",IFERROR(INDEX(THEMES!$B$4:$B$15,MATCH(D198,THEMES!$A$4:$A$15,0)),"Unknown theme"))</x:f>
      </x:c>
      <x:c r="F198" s="119"/>
      <x:c r="G198" s="119"/>
      <x:c r="H198" s="119"/>
      <x:c r="I198" s="119"/>
      <x:c r="J198" s="119"/>
      <x:c r="K198" s="126" t="str">
        <x:f>IF(B198="","",IFERROR(INDEX(SOURCES!$K$4:$K$83,MATCH(B198,SOURCES!$A$4:$A$83,0)),""))</x:f>
      </x:c>
      <x:c r="L198" s="119"/>
      <x:c r="M198" s="119"/>
      <x:c r="N198" s="119"/>
      <x:c r="O198" s="119"/>
      <x:c r="P198" s="126" t="str">
        <x:f>IF(G198="","",IF(I198="Direct Quote",IF(H198="","ACTION NEEDED","OK"),"N/A"))</x:f>
      </x:c>
      <x:c r="Q198" s="126" t="str">
        <x:f>IF(G198="","",IF(OR(B198="",D198="",I198="",J198=""),"ACTION NEEDED",IF(P198="ACTION NEEDED","ACTION NEEDED","OK")))</x:f>
      </x:c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126" t="str">
        <x:f>IF(G199="","","F"&amp;TEXT(ROW()-3,"000"))</x:f>
      </x:c>
      <x:c r="B199" s="119"/>
      <x:c r="C199" s="126" t="str">
        <x:f>IF(B199="","",IFERROR(INDEX(SOURCES!$C$4:$C$83,MATCH(B199,SOURCES!$A$4:$A$83,0))&amp;IF(INDEX(SOURCES!$D$4:$D$83,MATCH(B199,SOURCES!$A$4:$A$83,0))="",""," ("&amp;INDEX(SOURCES!$D$4:$D$83,MATCH(B199,SOURCES!$A$4:$A$83,0))&amp;")"),"Unknown source"))</x:f>
      </x:c>
      <x:c r="D199" s="119"/>
      <x:c r="E199" s="126" t="str">
        <x:f>IF(D199="","",IFERROR(INDEX(THEMES!$B$4:$B$15,MATCH(D199,THEMES!$A$4:$A$15,0)),"Unknown theme"))</x:f>
      </x:c>
      <x:c r="F199" s="119"/>
      <x:c r="G199" s="119"/>
      <x:c r="H199" s="119"/>
      <x:c r="I199" s="119"/>
      <x:c r="J199" s="119"/>
      <x:c r="K199" s="126" t="str">
        <x:f>IF(B199="","",IFERROR(INDEX(SOURCES!$K$4:$K$83,MATCH(B199,SOURCES!$A$4:$A$83,0)),""))</x:f>
      </x:c>
      <x:c r="L199" s="119"/>
      <x:c r="M199" s="119"/>
      <x:c r="N199" s="119"/>
      <x:c r="O199" s="119"/>
      <x:c r="P199" s="126" t="str">
        <x:f>IF(G199="","",IF(I199="Direct Quote",IF(H199="","ACTION NEEDED","OK"),"N/A"))</x:f>
      </x:c>
      <x:c r="Q199" s="126" t="str">
        <x:f>IF(G199="","",IF(OR(B199="",D199="",I199="",J199=""),"ACTION NEEDED",IF(P199="ACTION NEEDED","ACTION NEEDED","OK")))</x:f>
      </x:c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126" t="str">
        <x:f>IF(G200="","","F"&amp;TEXT(ROW()-3,"000"))</x:f>
      </x:c>
      <x:c r="B200" s="119"/>
      <x:c r="C200" s="126" t="str">
        <x:f>IF(B200="","",IFERROR(INDEX(SOURCES!$C$4:$C$83,MATCH(B200,SOURCES!$A$4:$A$83,0))&amp;IF(INDEX(SOURCES!$D$4:$D$83,MATCH(B200,SOURCES!$A$4:$A$83,0))="",""," ("&amp;INDEX(SOURCES!$D$4:$D$83,MATCH(B200,SOURCES!$A$4:$A$83,0))&amp;")"),"Unknown source"))</x:f>
      </x:c>
      <x:c r="D200" s="119"/>
      <x:c r="E200" s="126" t="str">
        <x:f>IF(D200="","",IFERROR(INDEX(THEMES!$B$4:$B$15,MATCH(D200,THEMES!$A$4:$A$15,0)),"Unknown theme"))</x:f>
      </x:c>
      <x:c r="F200" s="119"/>
      <x:c r="G200" s="119"/>
      <x:c r="H200" s="119"/>
      <x:c r="I200" s="119"/>
      <x:c r="J200" s="119"/>
      <x:c r="K200" s="126" t="str">
        <x:f>IF(B200="","",IFERROR(INDEX(SOURCES!$K$4:$K$83,MATCH(B200,SOURCES!$A$4:$A$83,0)),""))</x:f>
      </x:c>
      <x:c r="L200" s="119"/>
      <x:c r="M200" s="119"/>
      <x:c r="N200" s="119"/>
      <x:c r="O200" s="119"/>
      <x:c r="P200" s="126" t="str">
        <x:f>IF(G200="","",IF(I200="Direct Quote",IF(H200="","ACTION NEEDED","OK"),"N/A"))</x:f>
      </x:c>
      <x:c r="Q200" s="126" t="str">
        <x:f>IF(G200="","",IF(OR(B200="",D200="",I200="",J200=""),"ACTION NEEDED",IF(P200="ACTION NEEDED","ACTION NEEDED","OK")))</x:f>
      </x:c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126" t="str">
        <x:f>IF(G201="","","F"&amp;TEXT(ROW()-3,"000"))</x:f>
      </x:c>
      <x:c r="B201" s="119"/>
      <x:c r="C201" s="126" t="str">
        <x:f>IF(B201="","",IFERROR(INDEX(SOURCES!$C$4:$C$83,MATCH(B201,SOURCES!$A$4:$A$83,0))&amp;IF(INDEX(SOURCES!$D$4:$D$83,MATCH(B201,SOURCES!$A$4:$A$83,0))="",""," ("&amp;INDEX(SOURCES!$D$4:$D$83,MATCH(B201,SOURCES!$A$4:$A$83,0))&amp;")"),"Unknown source"))</x:f>
      </x:c>
      <x:c r="D201" s="119"/>
      <x:c r="E201" s="126" t="str">
        <x:f>IF(D201="","",IFERROR(INDEX(THEMES!$B$4:$B$15,MATCH(D201,THEMES!$A$4:$A$15,0)),"Unknown theme"))</x:f>
      </x:c>
      <x:c r="F201" s="119"/>
      <x:c r="G201" s="119"/>
      <x:c r="H201" s="119"/>
      <x:c r="I201" s="119"/>
      <x:c r="J201" s="119"/>
      <x:c r="K201" s="126" t="str">
        <x:f>IF(B201="","",IFERROR(INDEX(SOURCES!$K$4:$K$83,MATCH(B201,SOURCES!$A$4:$A$83,0)),""))</x:f>
      </x:c>
      <x:c r="L201" s="119"/>
      <x:c r="M201" s="119"/>
      <x:c r="N201" s="119"/>
      <x:c r="O201" s="119"/>
      <x:c r="P201" s="126" t="str">
        <x:f>IF(G201="","",IF(I201="Direct Quote",IF(H201="","ACTION NEEDED","OK"),"N/A"))</x:f>
      </x:c>
      <x:c r="Q201" s="126" t="str">
        <x:f>IF(G201="","",IF(OR(B201="",D201="",I201="",J201=""),"ACTION NEEDED",IF(P201="ACTION NEEDED","ACTION NEEDED","OK")))</x:f>
      </x:c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126" t="str">
        <x:f>IF(G202="","","F"&amp;TEXT(ROW()-3,"000"))</x:f>
      </x:c>
      <x:c r="B202" s="119"/>
      <x:c r="C202" s="126" t="str">
        <x:f>IF(B202="","",IFERROR(INDEX(SOURCES!$C$4:$C$83,MATCH(B202,SOURCES!$A$4:$A$83,0))&amp;IF(INDEX(SOURCES!$D$4:$D$83,MATCH(B202,SOURCES!$A$4:$A$83,0))="",""," ("&amp;INDEX(SOURCES!$D$4:$D$83,MATCH(B202,SOURCES!$A$4:$A$83,0))&amp;")"),"Unknown source"))</x:f>
      </x:c>
      <x:c r="D202" s="119"/>
      <x:c r="E202" s="126" t="str">
        <x:f>IF(D202="","",IFERROR(INDEX(THEMES!$B$4:$B$15,MATCH(D202,THEMES!$A$4:$A$15,0)),"Unknown theme"))</x:f>
      </x:c>
      <x:c r="F202" s="119"/>
      <x:c r="G202" s="119"/>
      <x:c r="H202" s="119"/>
      <x:c r="I202" s="119"/>
      <x:c r="J202" s="119"/>
      <x:c r="K202" s="126" t="str">
        <x:f>IF(B202="","",IFERROR(INDEX(SOURCES!$K$4:$K$83,MATCH(B202,SOURCES!$A$4:$A$83,0)),""))</x:f>
      </x:c>
      <x:c r="L202" s="119"/>
      <x:c r="M202" s="119"/>
      <x:c r="N202" s="119"/>
      <x:c r="O202" s="119"/>
      <x:c r="P202" s="126" t="str">
        <x:f>IF(G202="","",IF(I202="Direct Quote",IF(H202="","ACTION NEEDED","OK"),"N/A"))</x:f>
      </x:c>
      <x:c r="Q202" s="126" t="str">
        <x:f>IF(G202="","",IF(OR(B202="",D202="",I202="",J202=""),"ACTION NEEDED",IF(P202="ACTION NEEDED","ACTION NEEDED","OK")))</x:f>
      </x:c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126" t="str">
        <x:f>IF(G203="","","F"&amp;TEXT(ROW()-3,"000"))</x:f>
      </x:c>
      <x:c r="B203" s="119"/>
      <x:c r="C203" s="126" t="str">
        <x:f>IF(B203="","",IFERROR(INDEX(SOURCES!$C$4:$C$83,MATCH(B203,SOURCES!$A$4:$A$83,0))&amp;IF(INDEX(SOURCES!$D$4:$D$83,MATCH(B203,SOURCES!$A$4:$A$83,0))="",""," ("&amp;INDEX(SOURCES!$D$4:$D$83,MATCH(B203,SOURCES!$A$4:$A$83,0))&amp;")"),"Unknown source"))</x:f>
      </x:c>
      <x:c r="D203" s="119"/>
      <x:c r="E203" s="126" t="str">
        <x:f>IF(D203="","",IFERROR(INDEX(THEMES!$B$4:$B$15,MATCH(D203,THEMES!$A$4:$A$15,0)),"Unknown theme"))</x:f>
      </x:c>
      <x:c r="F203" s="119"/>
      <x:c r="G203" s="119"/>
      <x:c r="H203" s="119"/>
      <x:c r="I203" s="119"/>
      <x:c r="J203" s="119"/>
      <x:c r="K203" s="126" t="str">
        <x:f>IF(B203="","",IFERROR(INDEX(SOURCES!$K$4:$K$83,MATCH(B203,SOURCES!$A$4:$A$83,0)),""))</x:f>
      </x:c>
      <x:c r="L203" s="119"/>
      <x:c r="M203" s="119"/>
      <x:c r="N203" s="119"/>
      <x:c r="O203" s="119"/>
      <x:c r="P203" s="126" t="str">
        <x:f>IF(G203="","",IF(I203="Direct Quote",IF(H203="","ACTION NEEDED","OK"),"N/A"))</x:f>
      </x:c>
      <x:c r="Q203" s="126" t="str">
        <x:f>IF(G203="","",IF(OR(B203="",D203="",I203="",J203=""),"ACTION NEEDED",IF(P203="ACTION NEEDED","ACTION NEEDED","OK")))</x:f>
      </x:c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Q1"/>
  </x:mergeCells>
  <x:conditionalFormatting sqref="P4:Q203">
    <x:cfRule type="expression" dxfId="3" priority="1">
      <x:formula>OR($P4="ACTION NEEDED",$Q4="ACTION NEEDED")</x:formula>
    </x:cfRule>
  </x:conditionalFormatting>
  <x:dataValidations count="3">
    <x:dataValidation type="list" sqref="I4:I203">
      <x:formula1>_LISTS!$E$2:$E$7</x:formula1>
    </x:dataValidation>
    <x:dataValidation type="list" sqref="J4:J203">
      <x:formula1>_LISTS!$D$2:$D$6</x:formula1>
    </x:dataValidation>
    <x:dataValidation type="list" sqref="N4:N203">
      <x:formula1>_LISTS!$F$2:$F$4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a69dd17ad242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2" hidden="0" customWidth="1"/>
    <x:col min="4" max="4" width="30" hidden="0" customWidth="1"/>
    <x:col min="5" max="5" width="30" hidden="0" customWidth="1"/>
    <x:col min="6" max="6" width="34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2" hidden="0" customWidth="1"/>
    <x:col min="12" max="12" width="10" hidden="0" customWidth="1"/>
    <x:col min="13" max="13" width="18" hidden="0" customWidth="1"/>
    <x:col min="14" max="14" width="20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</x:cols>
  <x:sheetData>
    <x:row r="1">
      <x:c r="A1" s="149" t="str">
        <x:v>THEMES — define once; coverage and evidence direction populate automatically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  <x:c r="V1" s="149"/>
      <x:c r="W1" s="149"/>
      <x:c r="X1" s="149"/>
      <x:c r="Y1" s="149"/>
      <x:c r="Z1" s="149"/>
      <x:c r="AA1" s="149"/>
      <x:c r="AB1" s="149"/>
      <x:c r="AC1" s="149"/>
      <x:c r="AD1" s="149"/>
      <x:c r="AE1" s="149"/>
      <x:c r="AF1" s="149"/>
      <x:c r="AG1" s="149"/>
      <x:c r="AH1" s="149"/>
      <x:c r="AI1" s="149"/>
      <x:c r="AJ1" s="149"/>
      <x:c r="AK1" s="149"/>
      <x:c r="AL1" s="149"/>
      <x:c r="AM1" s="149"/>
      <x:c r="AN1" s="149"/>
      <x:c r="AO1" s="149"/>
      <x:c r="AP1" s="149"/>
      <x:c r="AQ1" s="149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Theme ID</x:v>
      </x:c>
      <x:c r="B3" s="125" t="str">
        <x:v>Theme Name</x:v>
      </x:c>
      <x:c r="C3" s="125" t="str">
        <x:v>Working Definition</x:v>
      </x:c>
      <x:c r="D3" s="125" t="str">
        <x:v>Include When...</x:v>
      </x:c>
      <x:c r="E3" s="125" t="str">
        <x:v>Exclude When...</x:v>
      </x:c>
      <x:c r="F3" s="125" t="str">
        <x:v>Working Question</x:v>
      </x:c>
      <x:c r="G3" s="125" t="str">
        <x:v>Findings</x:v>
      </x:c>
      <x:c r="H3" s="125" t="str">
        <x:v>Sources</x:v>
      </x:c>
      <x:c r="I3" s="125" t="str">
        <x:v>Supports</x:v>
      </x:c>
      <x:c r="J3" s="125" t="str">
        <x:v>Contradicts</x:v>
      </x:c>
      <x:c r="K3" s="125" t="str">
        <x:v>Complicates</x:v>
      </x:c>
      <x:c r="L3" s="125" t="str">
        <x:v>Context</x:v>
      </x:c>
      <x:c r="M3" s="125" t="str">
        <x:v>Pattern Flag</x:v>
      </x:c>
      <x:c r="N3" s="125" t="str">
        <x:v>Synthesis Status</x:v>
      </x:c>
      <x:c r="O3" s="133" t="n">
        <x:f>SOURCES!A4</x:f>
        <x:v>0</x:v>
      </x:c>
      <x:c r="P3" s="133" t="n">
        <x:f>SOURCES!A5</x:f>
        <x:v>0</x:v>
      </x:c>
      <x:c r="Q3" s="133" t="n">
        <x:f>SOURCES!A6</x:f>
        <x:v>0</x:v>
      </x:c>
      <x:c r="R3" s="133" t="n">
        <x:f>SOURCES!A7</x:f>
        <x:v>0</x:v>
      </x:c>
      <x:c r="S3" s="133" t="n">
        <x:f>SOURCES!A8</x:f>
        <x:v>0</x:v>
      </x:c>
      <x:c r="T3" s="133" t="n">
        <x:f>SOURCES!A9</x:f>
        <x:v>0</x:v>
      </x:c>
      <x:c r="U3" s="133" t="n">
        <x:f>SOURCES!A10</x:f>
        <x:v>0</x:v>
      </x:c>
      <x:c r="V3" s="133" t="n">
        <x:f>SOURCES!A11</x:f>
        <x:v>0</x:v>
      </x:c>
      <x:c r="W3" s="133" t="n">
        <x:f>SOURCES!A12</x:f>
        <x:v>0</x:v>
      </x:c>
      <x:c r="X3" s="133" t="n">
        <x:f>SOURCES!A13</x:f>
        <x:v>0</x:v>
      </x:c>
      <x:c r="Y3" s="133" t="n">
        <x:f>SOURCES!A14</x:f>
        <x:v>0</x:v>
      </x:c>
      <x:c r="Z3" s="133" t="n">
        <x:f>SOURCES!A15</x:f>
        <x:v>0</x:v>
      </x:c>
      <x:c r="AA3" s="133" t="n">
        <x:f>SOURCES!A16</x:f>
        <x:v>0</x:v>
      </x:c>
      <x:c r="AB3" s="133" t="n">
        <x:f>SOURCES!A17</x:f>
        <x:v>0</x:v>
      </x:c>
      <x:c r="AC3" s="133" t="n">
        <x:f>SOURCES!A18</x:f>
        <x:v>0</x:v>
      </x:c>
      <x:c r="AD3" s="133" t="n">
        <x:f>SOURCES!A19</x:f>
        <x:v>0</x:v>
      </x:c>
      <x:c r="AE3" s="133" t="n">
        <x:f>SOURCES!A20</x:f>
        <x:v>0</x:v>
      </x:c>
      <x:c r="AF3" s="133" t="n">
        <x:f>SOURCES!A21</x:f>
        <x:v>0</x:v>
      </x:c>
      <x:c r="AG3" s="133" t="n">
        <x:f>SOURCES!A22</x:f>
        <x:v>0</x:v>
      </x:c>
      <x:c r="AH3" s="133" t="n">
        <x:f>SOURCES!A23</x:f>
        <x:v>0</x:v>
      </x:c>
      <x:c r="AI3" s="133" t="n">
        <x:f>SOURCES!A24</x:f>
        <x:v>0</x:v>
      </x:c>
      <x:c r="AJ3" s="133" t="n">
        <x:f>SOURCES!A25</x:f>
        <x:v>0</x:v>
      </x:c>
      <x:c r="AK3" s="133" t="n">
        <x:f>SOURCES!A26</x:f>
        <x:v>0</x:v>
      </x:c>
      <x:c r="AL3" s="133" t="n">
        <x:f>SOURCES!A27</x:f>
        <x:v>0</x:v>
      </x:c>
      <x:c r="AM3" s="133" t="n">
        <x:f>SOURCES!A28</x:f>
        <x:v>0</x:v>
      </x:c>
      <x:c r="AN3" s="133" t="n">
        <x:f>SOURCES!A29</x:f>
        <x:v>0</x:v>
      </x:c>
      <x:c r="AO3" s="133" t="n">
        <x:f>SOURCES!A30</x:f>
        <x:v>0</x:v>
      </x:c>
      <x:c r="AP3" s="133" t="n">
        <x:f>SOURCES!A31</x:f>
        <x:v>0</x:v>
      </x:c>
      <x:c r="AQ3" s="133" t="n">
        <x:f>SOURCES!A32</x:f>
        <x:v>0</x:v>
      </x:c>
      <x:c r="AR3" s="91"/>
      <x:c r="AS3" s="91"/>
    </x:row>
    <x:row r="4">
      <x:c r="A4" s="126" t="str">
        <x:f>IF(B4="","","T"&amp;TEXT(ROW()-3,"00"))</x:f>
      </x:c>
      <x:c r="B4" s="119"/>
      <x:c r="C4" s="119"/>
      <x:c r="D4" s="119"/>
      <x:c r="E4" s="119"/>
      <x:c r="F4" s="119"/>
      <x:c r="G4" s="126" t="str">
        <x:f>IF(A4="","",COUNTIF(FINDINGS!$D$4:$D$203,A4))</x:f>
      </x:c>
      <x:c r="H4" s="126" t="str">
        <x:f>IF(A4="","",COUNTIF(O4:AQ4,"&gt;0"))</x:f>
      </x:c>
      <x:c r="I4" s="126" t="str">
        <x:f>IF(A4="","",COUNTIFS(FINDINGS!$D$4:$D$203,A4,FINDINGS!$J$4:$J$203,"Supports"))</x:f>
      </x:c>
      <x:c r="J4" s="126" t="str">
        <x:f>IF(A4="","",COUNTIFS(FINDINGS!$D$4:$D$203,A4,FINDINGS!$J$4:$J$203,"Contradicts"))</x:f>
      </x:c>
      <x:c r="K4" s="126" t="str">
        <x:f>IF(A4="","",COUNTIFS(FINDINGS!$D$4:$D$203,A4,FINDINGS!$J$4:$J$203,"Complicates"))</x:f>
      </x:c>
      <x:c r="L4" s="126" t="str">
        <x:f>IF(A4="","",COUNTIFS(FINDINGS!$D$4:$D$203,A4,FINDINGS!$J$4:$J$203,"Context"))</x:f>
      </x:c>
      <x:c r="M4" s="126" t="str">
        <x:f>IF(A4="","",IF(H4=0,"NO EVIDENCE",IF(AND(I4&gt;0,J4=0,K4=0),"ONE-SIDED",IF(OR(J4&gt;0,K4&gt;0),"MIXED / QUALIFY","CONTEXT-HEAVY"))))</x:f>
      </x:c>
      <x:c r="N4" s="126" t="str">
        <x:f>IF(A4="","",IF(H4&lt;2,"BUILD COVERAGE",IF(M4="ONE-SIDED","CHECK COUNTEREVIDENCE","READY TO SYNTHESIZE")))</x:f>
      </x:c>
      <x:c r="O4" s="134" t="str">
        <x:f>IF(OR($A4="",O$3=""),"",COUNTIFS(FINDINGS!$D$4:$D$203,$A4,FINDINGS!$B$4:$B$203,O$3))</x:f>
      </x:c>
      <x:c r="P4" s="134" t="str">
        <x:f>IF(OR($A4="",P$3=""),"",COUNTIFS(FINDINGS!$D$4:$D$203,$A4,FINDINGS!$B$4:$B$203,P$3))</x:f>
      </x:c>
      <x:c r="Q4" s="134" t="str">
        <x:f>IF(OR($A4="",Q$3=""),"",COUNTIFS(FINDINGS!$D$4:$D$203,$A4,FINDINGS!$B$4:$B$203,Q$3))</x:f>
      </x:c>
      <x:c r="R4" s="134" t="str">
        <x:f>IF(OR($A4="",R$3=""),"",COUNTIFS(FINDINGS!$D$4:$D$203,$A4,FINDINGS!$B$4:$B$203,R$3))</x:f>
      </x:c>
      <x:c r="S4" s="134" t="str">
        <x:f>IF(OR($A4="",S$3=""),"",COUNTIFS(FINDINGS!$D$4:$D$203,$A4,FINDINGS!$B$4:$B$203,S$3))</x:f>
      </x:c>
      <x:c r="T4" s="134" t="str">
        <x:f>IF(OR($A4="",T$3=""),"",COUNTIFS(FINDINGS!$D$4:$D$203,$A4,FINDINGS!$B$4:$B$203,T$3))</x:f>
      </x:c>
      <x:c r="U4" s="134" t="str">
        <x:f>IF(OR($A4="",U$3=""),"",COUNTIFS(FINDINGS!$D$4:$D$203,$A4,FINDINGS!$B$4:$B$203,U$3))</x:f>
      </x:c>
      <x:c r="V4" s="134" t="str">
        <x:f>IF(OR($A4="",V$3=""),"",COUNTIFS(FINDINGS!$D$4:$D$203,$A4,FINDINGS!$B$4:$B$203,V$3))</x:f>
      </x:c>
      <x:c r="W4" s="134" t="str">
        <x:f>IF(OR($A4="",W$3=""),"",COUNTIFS(FINDINGS!$D$4:$D$203,$A4,FINDINGS!$B$4:$B$203,W$3))</x:f>
      </x:c>
      <x:c r="X4" s="134" t="str">
        <x:f>IF(OR($A4="",X$3=""),"",COUNTIFS(FINDINGS!$D$4:$D$203,$A4,FINDINGS!$B$4:$B$203,X$3))</x:f>
      </x:c>
      <x:c r="Y4" s="134" t="str">
        <x:f>IF(OR($A4="",Y$3=""),"",COUNTIFS(FINDINGS!$D$4:$D$203,$A4,FINDINGS!$B$4:$B$203,Y$3))</x:f>
      </x:c>
      <x:c r="Z4" s="134" t="str">
        <x:f>IF(OR($A4="",Z$3=""),"",COUNTIFS(FINDINGS!$D$4:$D$203,$A4,FINDINGS!$B$4:$B$203,Z$3))</x:f>
      </x:c>
      <x:c r="AA4" s="134" t="str">
        <x:f>IF(OR($A4="",AA$3=""),"",COUNTIFS(FINDINGS!$D$4:$D$203,$A4,FINDINGS!$B$4:$B$203,AA$3))</x:f>
      </x:c>
      <x:c r="AB4" s="134" t="str">
        <x:f>IF(OR($A4="",AB$3=""),"",COUNTIFS(FINDINGS!$D$4:$D$203,$A4,FINDINGS!$B$4:$B$203,AB$3))</x:f>
      </x:c>
      <x:c r="AC4" s="134" t="str">
        <x:f>IF(OR($A4="",AC$3=""),"",COUNTIFS(FINDINGS!$D$4:$D$203,$A4,FINDINGS!$B$4:$B$203,AC$3))</x:f>
      </x:c>
      <x:c r="AD4" s="134" t="str">
        <x:f>IF(OR($A4="",AD$3=""),"",COUNTIFS(FINDINGS!$D$4:$D$203,$A4,FINDINGS!$B$4:$B$203,AD$3))</x:f>
      </x:c>
      <x:c r="AE4" s="134" t="str">
        <x:f>IF(OR($A4="",AE$3=""),"",COUNTIFS(FINDINGS!$D$4:$D$203,$A4,FINDINGS!$B$4:$B$203,AE$3))</x:f>
      </x:c>
      <x:c r="AF4" s="134" t="str">
        <x:f>IF(OR($A4="",AF$3=""),"",COUNTIFS(FINDINGS!$D$4:$D$203,$A4,FINDINGS!$B$4:$B$203,AF$3))</x:f>
      </x:c>
      <x:c r="AG4" s="134" t="str">
        <x:f>IF(OR($A4="",AG$3=""),"",COUNTIFS(FINDINGS!$D$4:$D$203,$A4,FINDINGS!$B$4:$B$203,AG$3))</x:f>
      </x:c>
      <x:c r="AH4" s="134" t="str">
        <x:f>IF(OR($A4="",AH$3=""),"",COUNTIFS(FINDINGS!$D$4:$D$203,$A4,FINDINGS!$B$4:$B$203,AH$3))</x:f>
      </x:c>
      <x:c r="AI4" s="134" t="str">
        <x:f>IF(OR($A4="",AI$3=""),"",COUNTIFS(FINDINGS!$D$4:$D$203,$A4,FINDINGS!$B$4:$B$203,AI$3))</x:f>
      </x:c>
      <x:c r="AJ4" s="134" t="str">
        <x:f>IF(OR($A4="",AJ$3=""),"",COUNTIFS(FINDINGS!$D$4:$D$203,$A4,FINDINGS!$B$4:$B$203,AJ$3))</x:f>
      </x:c>
      <x:c r="AK4" s="134" t="str">
        <x:f>IF(OR($A4="",AK$3=""),"",COUNTIFS(FINDINGS!$D$4:$D$203,$A4,FINDINGS!$B$4:$B$203,AK$3))</x:f>
      </x:c>
      <x:c r="AL4" s="134" t="str">
        <x:f>IF(OR($A4="",AL$3=""),"",COUNTIFS(FINDINGS!$D$4:$D$203,$A4,FINDINGS!$B$4:$B$203,AL$3))</x:f>
      </x:c>
      <x:c r="AM4" s="134" t="str">
        <x:f>IF(OR($A4="",AM$3=""),"",COUNTIFS(FINDINGS!$D$4:$D$203,$A4,FINDINGS!$B$4:$B$203,AM$3))</x:f>
      </x:c>
      <x:c r="AN4" s="134" t="str">
        <x:f>IF(OR($A4="",AN$3=""),"",COUNTIFS(FINDINGS!$D$4:$D$203,$A4,FINDINGS!$B$4:$B$203,AN$3))</x:f>
      </x:c>
      <x:c r="AO4" s="134" t="str">
        <x:f>IF(OR($A4="",AO$3=""),"",COUNTIFS(FINDINGS!$D$4:$D$203,$A4,FINDINGS!$B$4:$B$203,AO$3))</x:f>
      </x:c>
      <x:c r="AP4" s="134" t="str">
        <x:f>IF(OR($A4="",AP$3=""),"",COUNTIFS(FINDINGS!$D$4:$D$203,$A4,FINDINGS!$B$4:$B$203,AP$3))</x:f>
      </x:c>
      <x:c r="AQ4" s="134" t="str">
        <x:f>IF(OR($A4="",AQ$3=""),"",COUNTIFS(FINDINGS!$D$4:$D$203,$A4,FINDINGS!$B$4:$B$203,AQ$3))</x:f>
      </x:c>
      <x:c r="AR4" s="91"/>
      <x:c r="AS4" s="91"/>
    </x:row>
    <x:row r="5">
      <x:c r="A5" s="126" t="str">
        <x:f>IF(B5="","","T"&amp;TEXT(ROW()-3,"00"))</x:f>
      </x:c>
      <x:c r="B5" s="119"/>
      <x:c r="C5" s="119"/>
      <x:c r="D5" s="119"/>
      <x:c r="E5" s="119"/>
      <x:c r="F5" s="119"/>
      <x:c r="G5" s="126" t="str">
        <x:f>IF(A5="","",COUNTIF(FINDINGS!$D$4:$D$203,A5))</x:f>
      </x:c>
      <x:c r="H5" s="126" t="str">
        <x:f>IF(A5="","",COUNTIF(O5:AQ5,"&gt;0"))</x:f>
      </x:c>
      <x:c r="I5" s="126" t="str">
        <x:f>IF(A5="","",COUNTIFS(FINDINGS!$D$4:$D$203,A5,FINDINGS!$J$4:$J$203,"Supports"))</x:f>
      </x:c>
      <x:c r="J5" s="126" t="str">
        <x:f>IF(A5="","",COUNTIFS(FINDINGS!$D$4:$D$203,A5,FINDINGS!$J$4:$J$203,"Contradicts"))</x:f>
      </x:c>
      <x:c r="K5" s="126" t="str">
        <x:f>IF(A5="","",COUNTIFS(FINDINGS!$D$4:$D$203,A5,FINDINGS!$J$4:$J$203,"Complicates"))</x:f>
      </x:c>
      <x:c r="L5" s="126" t="str">
        <x:f>IF(A5="","",COUNTIFS(FINDINGS!$D$4:$D$203,A5,FINDINGS!$J$4:$J$203,"Context"))</x:f>
      </x:c>
      <x:c r="M5" s="126" t="str">
        <x:f>IF(A5="","",IF(H5=0,"NO EVIDENCE",IF(AND(I5&gt;0,J5=0,K5=0),"ONE-SIDED",IF(OR(J5&gt;0,K5&gt;0),"MIXED / QUALIFY","CONTEXT-HEAVY"))))</x:f>
      </x:c>
      <x:c r="N5" s="126" t="str">
        <x:f>IF(A5="","",IF(H5&lt;2,"BUILD COVERAGE",IF(M5="ONE-SIDED","CHECK COUNTEREVIDENCE","READY TO SYNTHESIZE")))</x:f>
      </x:c>
      <x:c r="O5" s="134" t="str">
        <x:f>IF(OR($A5="",O$3=""),"",COUNTIFS(FINDINGS!$D$4:$D$203,$A5,FINDINGS!$B$4:$B$203,O$3))</x:f>
      </x:c>
      <x:c r="P5" s="134" t="str">
        <x:f>IF(OR($A5="",P$3=""),"",COUNTIFS(FINDINGS!$D$4:$D$203,$A5,FINDINGS!$B$4:$B$203,P$3))</x:f>
      </x:c>
      <x:c r="Q5" s="134" t="str">
        <x:f>IF(OR($A5="",Q$3=""),"",COUNTIFS(FINDINGS!$D$4:$D$203,$A5,FINDINGS!$B$4:$B$203,Q$3))</x:f>
      </x:c>
      <x:c r="R5" s="134" t="str">
        <x:f>IF(OR($A5="",R$3=""),"",COUNTIFS(FINDINGS!$D$4:$D$203,$A5,FINDINGS!$B$4:$B$203,R$3))</x:f>
      </x:c>
      <x:c r="S5" s="134" t="str">
        <x:f>IF(OR($A5="",S$3=""),"",COUNTIFS(FINDINGS!$D$4:$D$203,$A5,FINDINGS!$B$4:$B$203,S$3))</x:f>
      </x:c>
      <x:c r="T5" s="134" t="str">
        <x:f>IF(OR($A5="",T$3=""),"",COUNTIFS(FINDINGS!$D$4:$D$203,$A5,FINDINGS!$B$4:$B$203,T$3))</x:f>
      </x:c>
      <x:c r="U5" s="134" t="str">
        <x:f>IF(OR($A5="",U$3=""),"",COUNTIFS(FINDINGS!$D$4:$D$203,$A5,FINDINGS!$B$4:$B$203,U$3))</x:f>
      </x:c>
      <x:c r="V5" s="134" t="str">
        <x:f>IF(OR($A5="",V$3=""),"",COUNTIFS(FINDINGS!$D$4:$D$203,$A5,FINDINGS!$B$4:$B$203,V$3))</x:f>
      </x:c>
      <x:c r="W5" s="134" t="str">
        <x:f>IF(OR($A5="",W$3=""),"",COUNTIFS(FINDINGS!$D$4:$D$203,$A5,FINDINGS!$B$4:$B$203,W$3))</x:f>
      </x:c>
      <x:c r="X5" s="134" t="str">
        <x:f>IF(OR($A5="",X$3=""),"",COUNTIFS(FINDINGS!$D$4:$D$203,$A5,FINDINGS!$B$4:$B$203,X$3))</x:f>
      </x:c>
      <x:c r="Y5" s="134" t="str">
        <x:f>IF(OR($A5="",Y$3=""),"",COUNTIFS(FINDINGS!$D$4:$D$203,$A5,FINDINGS!$B$4:$B$203,Y$3))</x:f>
      </x:c>
      <x:c r="Z5" s="134" t="str">
        <x:f>IF(OR($A5="",Z$3=""),"",COUNTIFS(FINDINGS!$D$4:$D$203,$A5,FINDINGS!$B$4:$B$203,Z$3))</x:f>
      </x:c>
      <x:c r="AA5" s="134" t="str">
        <x:f>IF(OR($A5="",AA$3=""),"",COUNTIFS(FINDINGS!$D$4:$D$203,$A5,FINDINGS!$B$4:$B$203,AA$3))</x:f>
      </x:c>
      <x:c r="AB5" s="134" t="str">
        <x:f>IF(OR($A5="",AB$3=""),"",COUNTIFS(FINDINGS!$D$4:$D$203,$A5,FINDINGS!$B$4:$B$203,AB$3))</x:f>
      </x:c>
      <x:c r="AC5" s="134" t="str">
        <x:f>IF(OR($A5="",AC$3=""),"",COUNTIFS(FINDINGS!$D$4:$D$203,$A5,FINDINGS!$B$4:$B$203,AC$3))</x:f>
      </x:c>
      <x:c r="AD5" s="134" t="str">
        <x:f>IF(OR($A5="",AD$3=""),"",COUNTIFS(FINDINGS!$D$4:$D$203,$A5,FINDINGS!$B$4:$B$203,AD$3))</x:f>
      </x:c>
      <x:c r="AE5" s="134" t="str">
        <x:f>IF(OR($A5="",AE$3=""),"",COUNTIFS(FINDINGS!$D$4:$D$203,$A5,FINDINGS!$B$4:$B$203,AE$3))</x:f>
      </x:c>
      <x:c r="AF5" s="134" t="str">
        <x:f>IF(OR($A5="",AF$3=""),"",COUNTIFS(FINDINGS!$D$4:$D$203,$A5,FINDINGS!$B$4:$B$203,AF$3))</x:f>
      </x:c>
      <x:c r="AG5" s="134" t="str">
        <x:f>IF(OR($A5="",AG$3=""),"",COUNTIFS(FINDINGS!$D$4:$D$203,$A5,FINDINGS!$B$4:$B$203,AG$3))</x:f>
      </x:c>
      <x:c r="AH5" s="134" t="str">
        <x:f>IF(OR($A5="",AH$3=""),"",COUNTIFS(FINDINGS!$D$4:$D$203,$A5,FINDINGS!$B$4:$B$203,AH$3))</x:f>
      </x:c>
      <x:c r="AI5" s="134" t="str">
        <x:f>IF(OR($A5="",AI$3=""),"",COUNTIFS(FINDINGS!$D$4:$D$203,$A5,FINDINGS!$B$4:$B$203,AI$3))</x:f>
      </x:c>
      <x:c r="AJ5" s="134" t="str">
        <x:f>IF(OR($A5="",AJ$3=""),"",COUNTIFS(FINDINGS!$D$4:$D$203,$A5,FINDINGS!$B$4:$B$203,AJ$3))</x:f>
      </x:c>
      <x:c r="AK5" s="134" t="str">
        <x:f>IF(OR($A5="",AK$3=""),"",COUNTIFS(FINDINGS!$D$4:$D$203,$A5,FINDINGS!$B$4:$B$203,AK$3))</x:f>
      </x:c>
      <x:c r="AL5" s="134" t="str">
        <x:f>IF(OR($A5="",AL$3=""),"",COUNTIFS(FINDINGS!$D$4:$D$203,$A5,FINDINGS!$B$4:$B$203,AL$3))</x:f>
      </x:c>
      <x:c r="AM5" s="134" t="str">
        <x:f>IF(OR($A5="",AM$3=""),"",COUNTIFS(FINDINGS!$D$4:$D$203,$A5,FINDINGS!$B$4:$B$203,AM$3))</x:f>
      </x:c>
      <x:c r="AN5" s="134" t="str">
        <x:f>IF(OR($A5="",AN$3=""),"",COUNTIFS(FINDINGS!$D$4:$D$203,$A5,FINDINGS!$B$4:$B$203,AN$3))</x:f>
      </x:c>
      <x:c r="AO5" s="134" t="str">
        <x:f>IF(OR($A5="",AO$3=""),"",COUNTIFS(FINDINGS!$D$4:$D$203,$A5,FINDINGS!$B$4:$B$203,AO$3))</x:f>
      </x:c>
      <x:c r="AP5" s="134" t="str">
        <x:f>IF(OR($A5="",AP$3=""),"",COUNTIFS(FINDINGS!$D$4:$D$203,$A5,FINDINGS!$B$4:$B$203,AP$3))</x:f>
      </x:c>
      <x:c r="AQ5" s="134" t="str">
        <x:f>IF(OR($A5="",AQ$3=""),"",COUNTIFS(FINDINGS!$D$4:$D$203,$A5,FINDINGS!$B$4:$B$203,AQ$3))</x:f>
      </x:c>
      <x:c r="AR5" s="91"/>
      <x:c r="AS5" s="91"/>
    </x:row>
    <x:row r="6">
      <x:c r="A6" s="126" t="str">
        <x:f>IF(B6="","","T"&amp;TEXT(ROW()-3,"00"))</x:f>
      </x:c>
      <x:c r="B6" s="119"/>
      <x:c r="C6" s="119"/>
      <x:c r="D6" s="119"/>
      <x:c r="E6" s="119"/>
      <x:c r="F6" s="119"/>
      <x:c r="G6" s="126" t="str">
        <x:f>IF(A6="","",COUNTIF(FINDINGS!$D$4:$D$203,A6))</x:f>
      </x:c>
      <x:c r="H6" s="126" t="str">
        <x:f>IF(A6="","",COUNTIF(O6:AQ6,"&gt;0"))</x:f>
      </x:c>
      <x:c r="I6" s="126" t="str">
        <x:f>IF(A6="","",COUNTIFS(FINDINGS!$D$4:$D$203,A6,FINDINGS!$J$4:$J$203,"Supports"))</x:f>
      </x:c>
      <x:c r="J6" s="126" t="str">
        <x:f>IF(A6="","",COUNTIFS(FINDINGS!$D$4:$D$203,A6,FINDINGS!$J$4:$J$203,"Contradicts"))</x:f>
      </x:c>
      <x:c r="K6" s="126" t="str">
        <x:f>IF(A6="","",COUNTIFS(FINDINGS!$D$4:$D$203,A6,FINDINGS!$J$4:$J$203,"Complicates"))</x:f>
      </x:c>
      <x:c r="L6" s="126" t="str">
        <x:f>IF(A6="","",COUNTIFS(FINDINGS!$D$4:$D$203,A6,FINDINGS!$J$4:$J$203,"Context"))</x:f>
      </x:c>
      <x:c r="M6" s="126" t="str">
        <x:f>IF(A6="","",IF(H6=0,"NO EVIDENCE",IF(AND(I6&gt;0,J6=0,K6=0),"ONE-SIDED",IF(OR(J6&gt;0,K6&gt;0),"MIXED / QUALIFY","CONTEXT-HEAVY"))))</x:f>
      </x:c>
      <x:c r="N6" s="126" t="str">
        <x:f>IF(A6="","",IF(H6&lt;2,"BUILD COVERAGE",IF(M6="ONE-SIDED","CHECK COUNTEREVIDENCE","READY TO SYNTHESIZE")))</x:f>
      </x:c>
      <x:c r="O6" s="134" t="str">
        <x:f>IF(OR($A6="",O$3=""),"",COUNTIFS(FINDINGS!$D$4:$D$203,$A6,FINDINGS!$B$4:$B$203,O$3))</x:f>
      </x:c>
      <x:c r="P6" s="134" t="str">
        <x:f>IF(OR($A6="",P$3=""),"",COUNTIFS(FINDINGS!$D$4:$D$203,$A6,FINDINGS!$B$4:$B$203,P$3))</x:f>
      </x:c>
      <x:c r="Q6" s="134" t="str">
        <x:f>IF(OR($A6="",Q$3=""),"",COUNTIFS(FINDINGS!$D$4:$D$203,$A6,FINDINGS!$B$4:$B$203,Q$3))</x:f>
      </x:c>
      <x:c r="R6" s="134" t="str">
        <x:f>IF(OR($A6="",R$3=""),"",COUNTIFS(FINDINGS!$D$4:$D$203,$A6,FINDINGS!$B$4:$B$203,R$3))</x:f>
      </x:c>
      <x:c r="S6" s="134" t="str">
        <x:f>IF(OR($A6="",S$3=""),"",COUNTIFS(FINDINGS!$D$4:$D$203,$A6,FINDINGS!$B$4:$B$203,S$3))</x:f>
      </x:c>
      <x:c r="T6" s="134" t="str">
        <x:f>IF(OR($A6="",T$3=""),"",COUNTIFS(FINDINGS!$D$4:$D$203,$A6,FINDINGS!$B$4:$B$203,T$3))</x:f>
      </x:c>
      <x:c r="U6" s="134" t="str">
        <x:f>IF(OR($A6="",U$3=""),"",COUNTIFS(FINDINGS!$D$4:$D$203,$A6,FINDINGS!$B$4:$B$203,U$3))</x:f>
      </x:c>
      <x:c r="V6" s="134" t="str">
        <x:f>IF(OR($A6="",V$3=""),"",COUNTIFS(FINDINGS!$D$4:$D$203,$A6,FINDINGS!$B$4:$B$203,V$3))</x:f>
      </x:c>
      <x:c r="W6" s="134" t="str">
        <x:f>IF(OR($A6="",W$3=""),"",COUNTIFS(FINDINGS!$D$4:$D$203,$A6,FINDINGS!$B$4:$B$203,W$3))</x:f>
      </x:c>
      <x:c r="X6" s="134" t="str">
        <x:f>IF(OR($A6="",X$3=""),"",COUNTIFS(FINDINGS!$D$4:$D$203,$A6,FINDINGS!$B$4:$B$203,X$3))</x:f>
      </x:c>
      <x:c r="Y6" s="134" t="str">
        <x:f>IF(OR($A6="",Y$3=""),"",COUNTIFS(FINDINGS!$D$4:$D$203,$A6,FINDINGS!$B$4:$B$203,Y$3))</x:f>
      </x:c>
      <x:c r="Z6" s="134" t="str">
        <x:f>IF(OR($A6="",Z$3=""),"",COUNTIFS(FINDINGS!$D$4:$D$203,$A6,FINDINGS!$B$4:$B$203,Z$3))</x:f>
      </x:c>
      <x:c r="AA6" s="134" t="str">
        <x:f>IF(OR($A6="",AA$3=""),"",COUNTIFS(FINDINGS!$D$4:$D$203,$A6,FINDINGS!$B$4:$B$203,AA$3))</x:f>
      </x:c>
      <x:c r="AB6" s="134" t="str">
        <x:f>IF(OR($A6="",AB$3=""),"",COUNTIFS(FINDINGS!$D$4:$D$203,$A6,FINDINGS!$B$4:$B$203,AB$3))</x:f>
      </x:c>
      <x:c r="AC6" s="134" t="str">
        <x:f>IF(OR($A6="",AC$3=""),"",COUNTIFS(FINDINGS!$D$4:$D$203,$A6,FINDINGS!$B$4:$B$203,AC$3))</x:f>
      </x:c>
      <x:c r="AD6" s="134" t="str">
        <x:f>IF(OR($A6="",AD$3=""),"",COUNTIFS(FINDINGS!$D$4:$D$203,$A6,FINDINGS!$B$4:$B$203,AD$3))</x:f>
      </x:c>
      <x:c r="AE6" s="134" t="str">
        <x:f>IF(OR($A6="",AE$3=""),"",COUNTIFS(FINDINGS!$D$4:$D$203,$A6,FINDINGS!$B$4:$B$203,AE$3))</x:f>
      </x:c>
      <x:c r="AF6" s="134" t="str">
        <x:f>IF(OR($A6="",AF$3=""),"",COUNTIFS(FINDINGS!$D$4:$D$203,$A6,FINDINGS!$B$4:$B$203,AF$3))</x:f>
      </x:c>
      <x:c r="AG6" s="134" t="str">
        <x:f>IF(OR($A6="",AG$3=""),"",COUNTIFS(FINDINGS!$D$4:$D$203,$A6,FINDINGS!$B$4:$B$203,AG$3))</x:f>
      </x:c>
      <x:c r="AH6" s="134" t="str">
        <x:f>IF(OR($A6="",AH$3=""),"",COUNTIFS(FINDINGS!$D$4:$D$203,$A6,FINDINGS!$B$4:$B$203,AH$3))</x:f>
      </x:c>
      <x:c r="AI6" s="134" t="str">
        <x:f>IF(OR($A6="",AI$3=""),"",COUNTIFS(FINDINGS!$D$4:$D$203,$A6,FINDINGS!$B$4:$B$203,AI$3))</x:f>
      </x:c>
      <x:c r="AJ6" s="134" t="str">
        <x:f>IF(OR($A6="",AJ$3=""),"",COUNTIFS(FINDINGS!$D$4:$D$203,$A6,FINDINGS!$B$4:$B$203,AJ$3))</x:f>
      </x:c>
      <x:c r="AK6" s="134" t="str">
        <x:f>IF(OR($A6="",AK$3=""),"",COUNTIFS(FINDINGS!$D$4:$D$203,$A6,FINDINGS!$B$4:$B$203,AK$3))</x:f>
      </x:c>
      <x:c r="AL6" s="134" t="str">
        <x:f>IF(OR($A6="",AL$3=""),"",COUNTIFS(FINDINGS!$D$4:$D$203,$A6,FINDINGS!$B$4:$B$203,AL$3))</x:f>
      </x:c>
      <x:c r="AM6" s="134" t="str">
        <x:f>IF(OR($A6="",AM$3=""),"",COUNTIFS(FINDINGS!$D$4:$D$203,$A6,FINDINGS!$B$4:$B$203,AM$3))</x:f>
      </x:c>
      <x:c r="AN6" s="134" t="str">
        <x:f>IF(OR($A6="",AN$3=""),"",COUNTIFS(FINDINGS!$D$4:$D$203,$A6,FINDINGS!$B$4:$B$203,AN$3))</x:f>
      </x:c>
      <x:c r="AO6" s="134" t="str">
        <x:f>IF(OR($A6="",AO$3=""),"",COUNTIFS(FINDINGS!$D$4:$D$203,$A6,FINDINGS!$B$4:$B$203,AO$3))</x:f>
      </x:c>
      <x:c r="AP6" s="134" t="str">
        <x:f>IF(OR($A6="",AP$3=""),"",COUNTIFS(FINDINGS!$D$4:$D$203,$A6,FINDINGS!$B$4:$B$203,AP$3))</x:f>
      </x:c>
      <x:c r="AQ6" s="134" t="str">
        <x:f>IF(OR($A6="",AQ$3=""),"",COUNTIFS(FINDINGS!$D$4:$D$203,$A6,FINDINGS!$B$4:$B$203,AQ$3))</x:f>
      </x:c>
      <x:c r="AR6" s="91"/>
      <x:c r="AS6" s="91"/>
    </x:row>
    <x:row r="7">
      <x:c r="A7" s="126" t="str">
        <x:f>IF(B7="","","T"&amp;TEXT(ROW()-3,"00"))</x:f>
      </x:c>
      <x:c r="B7" s="119"/>
      <x:c r="C7" s="119"/>
      <x:c r="D7" s="119"/>
      <x:c r="E7" s="119"/>
      <x:c r="F7" s="119"/>
      <x:c r="G7" s="126" t="str">
        <x:f>IF(A7="","",COUNTIF(FINDINGS!$D$4:$D$203,A7))</x:f>
      </x:c>
      <x:c r="H7" s="126" t="str">
        <x:f>IF(A7="","",COUNTIF(O7:AQ7,"&gt;0"))</x:f>
      </x:c>
      <x:c r="I7" s="126" t="str">
        <x:f>IF(A7="","",COUNTIFS(FINDINGS!$D$4:$D$203,A7,FINDINGS!$J$4:$J$203,"Supports"))</x:f>
      </x:c>
      <x:c r="J7" s="126" t="str">
        <x:f>IF(A7="","",COUNTIFS(FINDINGS!$D$4:$D$203,A7,FINDINGS!$J$4:$J$203,"Contradicts"))</x:f>
      </x:c>
      <x:c r="K7" s="126" t="str">
        <x:f>IF(A7="","",COUNTIFS(FINDINGS!$D$4:$D$203,A7,FINDINGS!$J$4:$J$203,"Complicates"))</x:f>
      </x:c>
      <x:c r="L7" s="126" t="str">
        <x:f>IF(A7="","",COUNTIFS(FINDINGS!$D$4:$D$203,A7,FINDINGS!$J$4:$J$203,"Context"))</x:f>
      </x:c>
      <x:c r="M7" s="126" t="str">
        <x:f>IF(A7="","",IF(H7=0,"NO EVIDENCE",IF(AND(I7&gt;0,J7=0,K7=0),"ONE-SIDED",IF(OR(J7&gt;0,K7&gt;0),"MIXED / QUALIFY","CONTEXT-HEAVY"))))</x:f>
      </x:c>
      <x:c r="N7" s="126" t="str">
        <x:f>IF(A7="","",IF(H7&lt;2,"BUILD COVERAGE",IF(M7="ONE-SIDED","CHECK COUNTEREVIDENCE","READY TO SYNTHESIZE")))</x:f>
      </x:c>
      <x:c r="O7" s="134" t="str">
        <x:f>IF(OR($A7="",O$3=""),"",COUNTIFS(FINDINGS!$D$4:$D$203,$A7,FINDINGS!$B$4:$B$203,O$3))</x:f>
      </x:c>
      <x:c r="P7" s="134" t="str">
        <x:f>IF(OR($A7="",P$3=""),"",COUNTIFS(FINDINGS!$D$4:$D$203,$A7,FINDINGS!$B$4:$B$203,P$3))</x:f>
      </x:c>
      <x:c r="Q7" s="134" t="str">
        <x:f>IF(OR($A7="",Q$3=""),"",COUNTIFS(FINDINGS!$D$4:$D$203,$A7,FINDINGS!$B$4:$B$203,Q$3))</x:f>
      </x:c>
      <x:c r="R7" s="134" t="str">
        <x:f>IF(OR($A7="",R$3=""),"",COUNTIFS(FINDINGS!$D$4:$D$203,$A7,FINDINGS!$B$4:$B$203,R$3))</x:f>
      </x:c>
      <x:c r="S7" s="134" t="str">
        <x:f>IF(OR($A7="",S$3=""),"",COUNTIFS(FINDINGS!$D$4:$D$203,$A7,FINDINGS!$B$4:$B$203,S$3))</x:f>
      </x:c>
      <x:c r="T7" s="134" t="str">
        <x:f>IF(OR($A7="",T$3=""),"",COUNTIFS(FINDINGS!$D$4:$D$203,$A7,FINDINGS!$B$4:$B$203,T$3))</x:f>
      </x:c>
      <x:c r="U7" s="134" t="str">
        <x:f>IF(OR($A7="",U$3=""),"",COUNTIFS(FINDINGS!$D$4:$D$203,$A7,FINDINGS!$B$4:$B$203,U$3))</x:f>
      </x:c>
      <x:c r="V7" s="134" t="str">
        <x:f>IF(OR($A7="",V$3=""),"",COUNTIFS(FINDINGS!$D$4:$D$203,$A7,FINDINGS!$B$4:$B$203,V$3))</x:f>
      </x:c>
      <x:c r="W7" s="134" t="str">
        <x:f>IF(OR($A7="",W$3=""),"",COUNTIFS(FINDINGS!$D$4:$D$203,$A7,FINDINGS!$B$4:$B$203,W$3))</x:f>
      </x:c>
      <x:c r="X7" s="134" t="str">
        <x:f>IF(OR($A7="",X$3=""),"",COUNTIFS(FINDINGS!$D$4:$D$203,$A7,FINDINGS!$B$4:$B$203,X$3))</x:f>
      </x:c>
      <x:c r="Y7" s="134" t="str">
        <x:f>IF(OR($A7="",Y$3=""),"",COUNTIFS(FINDINGS!$D$4:$D$203,$A7,FINDINGS!$B$4:$B$203,Y$3))</x:f>
      </x:c>
      <x:c r="Z7" s="134" t="str">
        <x:f>IF(OR($A7="",Z$3=""),"",COUNTIFS(FINDINGS!$D$4:$D$203,$A7,FINDINGS!$B$4:$B$203,Z$3))</x:f>
      </x:c>
      <x:c r="AA7" s="134" t="str">
        <x:f>IF(OR($A7="",AA$3=""),"",COUNTIFS(FINDINGS!$D$4:$D$203,$A7,FINDINGS!$B$4:$B$203,AA$3))</x:f>
      </x:c>
      <x:c r="AB7" s="134" t="str">
        <x:f>IF(OR($A7="",AB$3=""),"",COUNTIFS(FINDINGS!$D$4:$D$203,$A7,FINDINGS!$B$4:$B$203,AB$3))</x:f>
      </x:c>
      <x:c r="AC7" s="134" t="str">
        <x:f>IF(OR($A7="",AC$3=""),"",COUNTIFS(FINDINGS!$D$4:$D$203,$A7,FINDINGS!$B$4:$B$203,AC$3))</x:f>
      </x:c>
      <x:c r="AD7" s="134" t="str">
        <x:f>IF(OR($A7="",AD$3=""),"",COUNTIFS(FINDINGS!$D$4:$D$203,$A7,FINDINGS!$B$4:$B$203,AD$3))</x:f>
      </x:c>
      <x:c r="AE7" s="134" t="str">
        <x:f>IF(OR($A7="",AE$3=""),"",COUNTIFS(FINDINGS!$D$4:$D$203,$A7,FINDINGS!$B$4:$B$203,AE$3))</x:f>
      </x:c>
      <x:c r="AF7" s="134" t="str">
        <x:f>IF(OR($A7="",AF$3=""),"",COUNTIFS(FINDINGS!$D$4:$D$203,$A7,FINDINGS!$B$4:$B$203,AF$3))</x:f>
      </x:c>
      <x:c r="AG7" s="134" t="str">
        <x:f>IF(OR($A7="",AG$3=""),"",COUNTIFS(FINDINGS!$D$4:$D$203,$A7,FINDINGS!$B$4:$B$203,AG$3))</x:f>
      </x:c>
      <x:c r="AH7" s="134" t="str">
        <x:f>IF(OR($A7="",AH$3=""),"",COUNTIFS(FINDINGS!$D$4:$D$203,$A7,FINDINGS!$B$4:$B$203,AH$3))</x:f>
      </x:c>
      <x:c r="AI7" s="134" t="str">
        <x:f>IF(OR($A7="",AI$3=""),"",COUNTIFS(FINDINGS!$D$4:$D$203,$A7,FINDINGS!$B$4:$B$203,AI$3))</x:f>
      </x:c>
      <x:c r="AJ7" s="134" t="str">
        <x:f>IF(OR($A7="",AJ$3=""),"",COUNTIFS(FINDINGS!$D$4:$D$203,$A7,FINDINGS!$B$4:$B$203,AJ$3))</x:f>
      </x:c>
      <x:c r="AK7" s="134" t="str">
        <x:f>IF(OR($A7="",AK$3=""),"",COUNTIFS(FINDINGS!$D$4:$D$203,$A7,FINDINGS!$B$4:$B$203,AK$3))</x:f>
      </x:c>
      <x:c r="AL7" s="134" t="str">
        <x:f>IF(OR($A7="",AL$3=""),"",COUNTIFS(FINDINGS!$D$4:$D$203,$A7,FINDINGS!$B$4:$B$203,AL$3))</x:f>
      </x:c>
      <x:c r="AM7" s="134" t="str">
        <x:f>IF(OR($A7="",AM$3=""),"",COUNTIFS(FINDINGS!$D$4:$D$203,$A7,FINDINGS!$B$4:$B$203,AM$3))</x:f>
      </x:c>
      <x:c r="AN7" s="134" t="str">
        <x:f>IF(OR($A7="",AN$3=""),"",COUNTIFS(FINDINGS!$D$4:$D$203,$A7,FINDINGS!$B$4:$B$203,AN$3))</x:f>
      </x:c>
      <x:c r="AO7" s="134" t="str">
        <x:f>IF(OR($A7="",AO$3=""),"",COUNTIFS(FINDINGS!$D$4:$D$203,$A7,FINDINGS!$B$4:$B$203,AO$3))</x:f>
      </x:c>
      <x:c r="AP7" s="134" t="str">
        <x:f>IF(OR($A7="",AP$3=""),"",COUNTIFS(FINDINGS!$D$4:$D$203,$A7,FINDINGS!$B$4:$B$203,AP$3))</x:f>
      </x:c>
      <x:c r="AQ7" s="134" t="str">
        <x:f>IF(OR($A7="",AQ$3=""),"",COUNTIFS(FINDINGS!$D$4:$D$203,$A7,FINDINGS!$B$4:$B$203,AQ$3))</x:f>
      </x:c>
      <x:c r="AR7" s="91"/>
      <x:c r="AS7" s="91"/>
    </x:row>
    <x:row r="8">
      <x:c r="A8" s="126" t="str">
        <x:f>IF(B8="","","T"&amp;TEXT(ROW()-3,"00"))</x:f>
      </x:c>
      <x:c r="B8" s="119"/>
      <x:c r="C8" s="119"/>
      <x:c r="D8" s="119"/>
      <x:c r="E8" s="119"/>
      <x:c r="F8" s="119"/>
      <x:c r="G8" s="126" t="str">
        <x:f>IF(A8="","",COUNTIF(FINDINGS!$D$4:$D$203,A8))</x:f>
      </x:c>
      <x:c r="H8" s="126" t="str">
        <x:f>IF(A8="","",COUNTIF(O8:AQ8,"&gt;0"))</x:f>
      </x:c>
      <x:c r="I8" s="126" t="str">
        <x:f>IF(A8="","",COUNTIFS(FINDINGS!$D$4:$D$203,A8,FINDINGS!$J$4:$J$203,"Supports"))</x:f>
      </x:c>
      <x:c r="J8" s="126" t="str">
        <x:f>IF(A8="","",COUNTIFS(FINDINGS!$D$4:$D$203,A8,FINDINGS!$J$4:$J$203,"Contradicts"))</x:f>
      </x:c>
      <x:c r="K8" s="126" t="str">
        <x:f>IF(A8="","",COUNTIFS(FINDINGS!$D$4:$D$203,A8,FINDINGS!$J$4:$J$203,"Complicates"))</x:f>
      </x:c>
      <x:c r="L8" s="126" t="str">
        <x:f>IF(A8="","",COUNTIFS(FINDINGS!$D$4:$D$203,A8,FINDINGS!$J$4:$J$203,"Context"))</x:f>
      </x:c>
      <x:c r="M8" s="126" t="str">
        <x:f>IF(A8="","",IF(H8=0,"NO EVIDENCE",IF(AND(I8&gt;0,J8=0,K8=0),"ONE-SIDED",IF(OR(J8&gt;0,K8&gt;0),"MIXED / QUALIFY","CONTEXT-HEAVY"))))</x:f>
      </x:c>
      <x:c r="N8" s="126" t="str">
        <x:f>IF(A8="","",IF(H8&lt;2,"BUILD COVERAGE",IF(M8="ONE-SIDED","CHECK COUNTEREVIDENCE","READY TO SYNTHESIZE")))</x:f>
      </x:c>
      <x:c r="O8" s="134" t="str">
        <x:f>IF(OR($A8="",O$3=""),"",COUNTIFS(FINDINGS!$D$4:$D$203,$A8,FINDINGS!$B$4:$B$203,O$3))</x:f>
      </x:c>
      <x:c r="P8" s="134" t="str">
        <x:f>IF(OR($A8="",P$3=""),"",COUNTIFS(FINDINGS!$D$4:$D$203,$A8,FINDINGS!$B$4:$B$203,P$3))</x:f>
      </x:c>
      <x:c r="Q8" s="134" t="str">
        <x:f>IF(OR($A8="",Q$3=""),"",COUNTIFS(FINDINGS!$D$4:$D$203,$A8,FINDINGS!$B$4:$B$203,Q$3))</x:f>
      </x:c>
      <x:c r="R8" s="134" t="str">
        <x:f>IF(OR($A8="",R$3=""),"",COUNTIFS(FINDINGS!$D$4:$D$203,$A8,FINDINGS!$B$4:$B$203,R$3))</x:f>
      </x:c>
      <x:c r="S8" s="134" t="str">
        <x:f>IF(OR($A8="",S$3=""),"",COUNTIFS(FINDINGS!$D$4:$D$203,$A8,FINDINGS!$B$4:$B$203,S$3))</x:f>
      </x:c>
      <x:c r="T8" s="134" t="str">
        <x:f>IF(OR($A8="",T$3=""),"",COUNTIFS(FINDINGS!$D$4:$D$203,$A8,FINDINGS!$B$4:$B$203,T$3))</x:f>
      </x:c>
      <x:c r="U8" s="134" t="str">
        <x:f>IF(OR($A8="",U$3=""),"",COUNTIFS(FINDINGS!$D$4:$D$203,$A8,FINDINGS!$B$4:$B$203,U$3))</x:f>
      </x:c>
      <x:c r="V8" s="134" t="str">
        <x:f>IF(OR($A8="",V$3=""),"",COUNTIFS(FINDINGS!$D$4:$D$203,$A8,FINDINGS!$B$4:$B$203,V$3))</x:f>
      </x:c>
      <x:c r="W8" s="134" t="str">
        <x:f>IF(OR($A8="",W$3=""),"",COUNTIFS(FINDINGS!$D$4:$D$203,$A8,FINDINGS!$B$4:$B$203,W$3))</x:f>
      </x:c>
      <x:c r="X8" s="134" t="str">
        <x:f>IF(OR($A8="",X$3=""),"",COUNTIFS(FINDINGS!$D$4:$D$203,$A8,FINDINGS!$B$4:$B$203,X$3))</x:f>
      </x:c>
      <x:c r="Y8" s="134" t="str">
        <x:f>IF(OR($A8="",Y$3=""),"",COUNTIFS(FINDINGS!$D$4:$D$203,$A8,FINDINGS!$B$4:$B$203,Y$3))</x:f>
      </x:c>
      <x:c r="Z8" s="134" t="str">
        <x:f>IF(OR($A8="",Z$3=""),"",COUNTIFS(FINDINGS!$D$4:$D$203,$A8,FINDINGS!$B$4:$B$203,Z$3))</x:f>
      </x:c>
      <x:c r="AA8" s="134" t="str">
        <x:f>IF(OR($A8="",AA$3=""),"",COUNTIFS(FINDINGS!$D$4:$D$203,$A8,FINDINGS!$B$4:$B$203,AA$3))</x:f>
      </x:c>
      <x:c r="AB8" s="134" t="str">
        <x:f>IF(OR($A8="",AB$3=""),"",COUNTIFS(FINDINGS!$D$4:$D$203,$A8,FINDINGS!$B$4:$B$203,AB$3))</x:f>
      </x:c>
      <x:c r="AC8" s="134" t="str">
        <x:f>IF(OR($A8="",AC$3=""),"",COUNTIFS(FINDINGS!$D$4:$D$203,$A8,FINDINGS!$B$4:$B$203,AC$3))</x:f>
      </x:c>
      <x:c r="AD8" s="134" t="str">
        <x:f>IF(OR($A8="",AD$3=""),"",COUNTIFS(FINDINGS!$D$4:$D$203,$A8,FINDINGS!$B$4:$B$203,AD$3))</x:f>
      </x:c>
      <x:c r="AE8" s="134" t="str">
        <x:f>IF(OR($A8="",AE$3=""),"",COUNTIFS(FINDINGS!$D$4:$D$203,$A8,FINDINGS!$B$4:$B$203,AE$3))</x:f>
      </x:c>
      <x:c r="AF8" s="134" t="str">
        <x:f>IF(OR($A8="",AF$3=""),"",COUNTIFS(FINDINGS!$D$4:$D$203,$A8,FINDINGS!$B$4:$B$203,AF$3))</x:f>
      </x:c>
      <x:c r="AG8" s="134" t="str">
        <x:f>IF(OR($A8="",AG$3=""),"",COUNTIFS(FINDINGS!$D$4:$D$203,$A8,FINDINGS!$B$4:$B$203,AG$3))</x:f>
      </x:c>
      <x:c r="AH8" s="134" t="str">
        <x:f>IF(OR($A8="",AH$3=""),"",COUNTIFS(FINDINGS!$D$4:$D$203,$A8,FINDINGS!$B$4:$B$203,AH$3))</x:f>
      </x:c>
      <x:c r="AI8" s="134" t="str">
        <x:f>IF(OR($A8="",AI$3=""),"",COUNTIFS(FINDINGS!$D$4:$D$203,$A8,FINDINGS!$B$4:$B$203,AI$3))</x:f>
      </x:c>
      <x:c r="AJ8" s="134" t="str">
        <x:f>IF(OR($A8="",AJ$3=""),"",COUNTIFS(FINDINGS!$D$4:$D$203,$A8,FINDINGS!$B$4:$B$203,AJ$3))</x:f>
      </x:c>
      <x:c r="AK8" s="134" t="str">
        <x:f>IF(OR($A8="",AK$3=""),"",COUNTIFS(FINDINGS!$D$4:$D$203,$A8,FINDINGS!$B$4:$B$203,AK$3))</x:f>
      </x:c>
      <x:c r="AL8" s="134" t="str">
        <x:f>IF(OR($A8="",AL$3=""),"",COUNTIFS(FINDINGS!$D$4:$D$203,$A8,FINDINGS!$B$4:$B$203,AL$3))</x:f>
      </x:c>
      <x:c r="AM8" s="134" t="str">
        <x:f>IF(OR($A8="",AM$3=""),"",COUNTIFS(FINDINGS!$D$4:$D$203,$A8,FINDINGS!$B$4:$B$203,AM$3))</x:f>
      </x:c>
      <x:c r="AN8" s="134" t="str">
        <x:f>IF(OR($A8="",AN$3=""),"",COUNTIFS(FINDINGS!$D$4:$D$203,$A8,FINDINGS!$B$4:$B$203,AN$3))</x:f>
      </x:c>
      <x:c r="AO8" s="134" t="str">
        <x:f>IF(OR($A8="",AO$3=""),"",COUNTIFS(FINDINGS!$D$4:$D$203,$A8,FINDINGS!$B$4:$B$203,AO$3))</x:f>
      </x:c>
      <x:c r="AP8" s="134" t="str">
        <x:f>IF(OR($A8="",AP$3=""),"",COUNTIFS(FINDINGS!$D$4:$D$203,$A8,FINDINGS!$B$4:$B$203,AP$3))</x:f>
      </x:c>
      <x:c r="AQ8" s="134" t="str">
        <x:f>IF(OR($A8="",AQ$3=""),"",COUNTIFS(FINDINGS!$D$4:$D$203,$A8,FINDINGS!$B$4:$B$203,AQ$3))</x:f>
      </x:c>
      <x:c r="AR8" s="91"/>
      <x:c r="AS8" s="91"/>
    </x:row>
    <x:row r="9">
      <x:c r="A9" s="126" t="str">
        <x:f>IF(B9="","","T"&amp;TEXT(ROW()-3,"00"))</x:f>
      </x:c>
      <x:c r="B9" s="119"/>
      <x:c r="C9" s="119"/>
      <x:c r="D9" s="119"/>
      <x:c r="E9" s="119"/>
      <x:c r="F9" s="119"/>
      <x:c r="G9" s="126" t="str">
        <x:f>IF(A9="","",COUNTIF(FINDINGS!$D$4:$D$203,A9))</x:f>
      </x:c>
      <x:c r="H9" s="126" t="str">
        <x:f>IF(A9="","",COUNTIF(O9:AQ9,"&gt;0"))</x:f>
      </x:c>
      <x:c r="I9" s="126" t="str">
        <x:f>IF(A9="","",COUNTIFS(FINDINGS!$D$4:$D$203,A9,FINDINGS!$J$4:$J$203,"Supports"))</x:f>
      </x:c>
      <x:c r="J9" s="126" t="str">
        <x:f>IF(A9="","",COUNTIFS(FINDINGS!$D$4:$D$203,A9,FINDINGS!$J$4:$J$203,"Contradicts"))</x:f>
      </x:c>
      <x:c r="K9" s="126" t="str">
        <x:f>IF(A9="","",COUNTIFS(FINDINGS!$D$4:$D$203,A9,FINDINGS!$J$4:$J$203,"Complicates"))</x:f>
      </x:c>
      <x:c r="L9" s="126" t="str">
        <x:f>IF(A9="","",COUNTIFS(FINDINGS!$D$4:$D$203,A9,FINDINGS!$J$4:$J$203,"Context"))</x:f>
      </x:c>
      <x:c r="M9" s="126" t="str">
        <x:f>IF(A9="","",IF(H9=0,"NO EVIDENCE",IF(AND(I9&gt;0,J9=0,K9=0),"ONE-SIDED",IF(OR(J9&gt;0,K9&gt;0),"MIXED / QUALIFY","CONTEXT-HEAVY"))))</x:f>
      </x:c>
      <x:c r="N9" s="126" t="str">
        <x:f>IF(A9="","",IF(H9&lt;2,"BUILD COVERAGE",IF(M9="ONE-SIDED","CHECK COUNTEREVIDENCE","READY TO SYNTHESIZE")))</x:f>
      </x:c>
      <x:c r="O9" s="134" t="str">
        <x:f>IF(OR($A9="",O$3=""),"",COUNTIFS(FINDINGS!$D$4:$D$203,$A9,FINDINGS!$B$4:$B$203,O$3))</x:f>
      </x:c>
      <x:c r="P9" s="134" t="str">
        <x:f>IF(OR($A9="",P$3=""),"",COUNTIFS(FINDINGS!$D$4:$D$203,$A9,FINDINGS!$B$4:$B$203,P$3))</x:f>
      </x:c>
      <x:c r="Q9" s="134" t="str">
        <x:f>IF(OR($A9="",Q$3=""),"",COUNTIFS(FINDINGS!$D$4:$D$203,$A9,FINDINGS!$B$4:$B$203,Q$3))</x:f>
      </x:c>
      <x:c r="R9" s="134" t="str">
        <x:f>IF(OR($A9="",R$3=""),"",COUNTIFS(FINDINGS!$D$4:$D$203,$A9,FINDINGS!$B$4:$B$203,R$3))</x:f>
      </x:c>
      <x:c r="S9" s="134" t="str">
        <x:f>IF(OR($A9="",S$3=""),"",COUNTIFS(FINDINGS!$D$4:$D$203,$A9,FINDINGS!$B$4:$B$203,S$3))</x:f>
      </x:c>
      <x:c r="T9" s="134" t="str">
        <x:f>IF(OR($A9="",T$3=""),"",COUNTIFS(FINDINGS!$D$4:$D$203,$A9,FINDINGS!$B$4:$B$203,T$3))</x:f>
      </x:c>
      <x:c r="U9" s="134" t="str">
        <x:f>IF(OR($A9="",U$3=""),"",COUNTIFS(FINDINGS!$D$4:$D$203,$A9,FINDINGS!$B$4:$B$203,U$3))</x:f>
      </x:c>
      <x:c r="V9" s="134" t="str">
        <x:f>IF(OR($A9="",V$3=""),"",COUNTIFS(FINDINGS!$D$4:$D$203,$A9,FINDINGS!$B$4:$B$203,V$3))</x:f>
      </x:c>
      <x:c r="W9" s="134" t="str">
        <x:f>IF(OR($A9="",W$3=""),"",COUNTIFS(FINDINGS!$D$4:$D$203,$A9,FINDINGS!$B$4:$B$203,W$3))</x:f>
      </x:c>
      <x:c r="X9" s="134" t="str">
        <x:f>IF(OR($A9="",X$3=""),"",COUNTIFS(FINDINGS!$D$4:$D$203,$A9,FINDINGS!$B$4:$B$203,X$3))</x:f>
      </x:c>
      <x:c r="Y9" s="134" t="str">
        <x:f>IF(OR($A9="",Y$3=""),"",COUNTIFS(FINDINGS!$D$4:$D$203,$A9,FINDINGS!$B$4:$B$203,Y$3))</x:f>
      </x:c>
      <x:c r="Z9" s="134" t="str">
        <x:f>IF(OR($A9="",Z$3=""),"",COUNTIFS(FINDINGS!$D$4:$D$203,$A9,FINDINGS!$B$4:$B$203,Z$3))</x:f>
      </x:c>
      <x:c r="AA9" s="134" t="str">
        <x:f>IF(OR($A9="",AA$3=""),"",COUNTIFS(FINDINGS!$D$4:$D$203,$A9,FINDINGS!$B$4:$B$203,AA$3))</x:f>
      </x:c>
      <x:c r="AB9" s="134" t="str">
        <x:f>IF(OR($A9="",AB$3=""),"",COUNTIFS(FINDINGS!$D$4:$D$203,$A9,FINDINGS!$B$4:$B$203,AB$3))</x:f>
      </x:c>
      <x:c r="AC9" s="134" t="str">
        <x:f>IF(OR($A9="",AC$3=""),"",COUNTIFS(FINDINGS!$D$4:$D$203,$A9,FINDINGS!$B$4:$B$203,AC$3))</x:f>
      </x:c>
      <x:c r="AD9" s="134" t="str">
        <x:f>IF(OR($A9="",AD$3=""),"",COUNTIFS(FINDINGS!$D$4:$D$203,$A9,FINDINGS!$B$4:$B$203,AD$3))</x:f>
      </x:c>
      <x:c r="AE9" s="134" t="str">
        <x:f>IF(OR($A9="",AE$3=""),"",COUNTIFS(FINDINGS!$D$4:$D$203,$A9,FINDINGS!$B$4:$B$203,AE$3))</x:f>
      </x:c>
      <x:c r="AF9" s="134" t="str">
        <x:f>IF(OR($A9="",AF$3=""),"",COUNTIFS(FINDINGS!$D$4:$D$203,$A9,FINDINGS!$B$4:$B$203,AF$3))</x:f>
      </x:c>
      <x:c r="AG9" s="134" t="str">
        <x:f>IF(OR($A9="",AG$3=""),"",COUNTIFS(FINDINGS!$D$4:$D$203,$A9,FINDINGS!$B$4:$B$203,AG$3))</x:f>
      </x:c>
      <x:c r="AH9" s="134" t="str">
        <x:f>IF(OR($A9="",AH$3=""),"",COUNTIFS(FINDINGS!$D$4:$D$203,$A9,FINDINGS!$B$4:$B$203,AH$3))</x:f>
      </x:c>
      <x:c r="AI9" s="134" t="str">
        <x:f>IF(OR($A9="",AI$3=""),"",COUNTIFS(FINDINGS!$D$4:$D$203,$A9,FINDINGS!$B$4:$B$203,AI$3))</x:f>
      </x:c>
      <x:c r="AJ9" s="134" t="str">
        <x:f>IF(OR($A9="",AJ$3=""),"",COUNTIFS(FINDINGS!$D$4:$D$203,$A9,FINDINGS!$B$4:$B$203,AJ$3))</x:f>
      </x:c>
      <x:c r="AK9" s="134" t="str">
        <x:f>IF(OR($A9="",AK$3=""),"",COUNTIFS(FINDINGS!$D$4:$D$203,$A9,FINDINGS!$B$4:$B$203,AK$3))</x:f>
      </x:c>
      <x:c r="AL9" s="134" t="str">
        <x:f>IF(OR($A9="",AL$3=""),"",COUNTIFS(FINDINGS!$D$4:$D$203,$A9,FINDINGS!$B$4:$B$203,AL$3))</x:f>
      </x:c>
      <x:c r="AM9" s="134" t="str">
        <x:f>IF(OR($A9="",AM$3=""),"",COUNTIFS(FINDINGS!$D$4:$D$203,$A9,FINDINGS!$B$4:$B$203,AM$3))</x:f>
      </x:c>
      <x:c r="AN9" s="134" t="str">
        <x:f>IF(OR($A9="",AN$3=""),"",COUNTIFS(FINDINGS!$D$4:$D$203,$A9,FINDINGS!$B$4:$B$203,AN$3))</x:f>
      </x:c>
      <x:c r="AO9" s="134" t="str">
        <x:f>IF(OR($A9="",AO$3=""),"",COUNTIFS(FINDINGS!$D$4:$D$203,$A9,FINDINGS!$B$4:$B$203,AO$3))</x:f>
      </x:c>
      <x:c r="AP9" s="134" t="str">
        <x:f>IF(OR($A9="",AP$3=""),"",COUNTIFS(FINDINGS!$D$4:$D$203,$A9,FINDINGS!$B$4:$B$203,AP$3))</x:f>
      </x:c>
      <x:c r="AQ9" s="134" t="str">
        <x:f>IF(OR($A9="",AQ$3=""),"",COUNTIFS(FINDINGS!$D$4:$D$203,$A9,FINDINGS!$B$4:$B$203,AQ$3))</x:f>
      </x:c>
      <x:c r="AR9" s="91"/>
      <x:c r="AS9" s="91"/>
    </x:row>
    <x:row r="10">
      <x:c r="A10" s="126" t="str">
        <x:f>IF(B10="","","T"&amp;TEXT(ROW()-3,"00"))</x:f>
      </x:c>
      <x:c r="B10" s="119"/>
      <x:c r="C10" s="119"/>
      <x:c r="D10" s="119"/>
      <x:c r="E10" s="119"/>
      <x:c r="F10" s="119"/>
      <x:c r="G10" s="126" t="str">
        <x:f>IF(A10="","",COUNTIF(FINDINGS!$D$4:$D$203,A10))</x:f>
      </x:c>
      <x:c r="H10" s="126" t="str">
        <x:f>IF(A10="","",COUNTIF(O10:AQ10,"&gt;0"))</x:f>
      </x:c>
      <x:c r="I10" s="126" t="str">
        <x:f>IF(A10="","",COUNTIFS(FINDINGS!$D$4:$D$203,A10,FINDINGS!$J$4:$J$203,"Supports"))</x:f>
      </x:c>
      <x:c r="J10" s="126" t="str">
        <x:f>IF(A10="","",COUNTIFS(FINDINGS!$D$4:$D$203,A10,FINDINGS!$J$4:$J$203,"Contradicts"))</x:f>
      </x:c>
      <x:c r="K10" s="126" t="str">
        <x:f>IF(A10="","",COUNTIFS(FINDINGS!$D$4:$D$203,A10,FINDINGS!$J$4:$J$203,"Complicates"))</x:f>
      </x:c>
      <x:c r="L10" s="126" t="str">
        <x:f>IF(A10="","",COUNTIFS(FINDINGS!$D$4:$D$203,A10,FINDINGS!$J$4:$J$203,"Context"))</x:f>
      </x:c>
      <x:c r="M10" s="126" t="str">
        <x:f>IF(A10="","",IF(H10=0,"NO EVIDENCE",IF(AND(I10&gt;0,J10=0,K10=0),"ONE-SIDED",IF(OR(J10&gt;0,K10&gt;0),"MIXED / QUALIFY","CONTEXT-HEAVY"))))</x:f>
      </x:c>
      <x:c r="N10" s="126" t="str">
        <x:f>IF(A10="","",IF(H10&lt;2,"BUILD COVERAGE",IF(M10="ONE-SIDED","CHECK COUNTEREVIDENCE","READY TO SYNTHESIZE")))</x:f>
      </x:c>
      <x:c r="O10" s="134" t="str">
        <x:f>IF(OR($A10="",O$3=""),"",COUNTIFS(FINDINGS!$D$4:$D$203,$A10,FINDINGS!$B$4:$B$203,O$3))</x:f>
      </x:c>
      <x:c r="P10" s="134" t="str">
        <x:f>IF(OR($A10="",P$3=""),"",COUNTIFS(FINDINGS!$D$4:$D$203,$A10,FINDINGS!$B$4:$B$203,P$3))</x:f>
      </x:c>
      <x:c r="Q10" s="134" t="str">
        <x:f>IF(OR($A10="",Q$3=""),"",COUNTIFS(FINDINGS!$D$4:$D$203,$A10,FINDINGS!$B$4:$B$203,Q$3))</x:f>
      </x:c>
      <x:c r="R10" s="134" t="str">
        <x:f>IF(OR($A10="",R$3=""),"",COUNTIFS(FINDINGS!$D$4:$D$203,$A10,FINDINGS!$B$4:$B$203,R$3))</x:f>
      </x:c>
      <x:c r="S10" s="134" t="str">
        <x:f>IF(OR($A10="",S$3=""),"",COUNTIFS(FINDINGS!$D$4:$D$203,$A10,FINDINGS!$B$4:$B$203,S$3))</x:f>
      </x:c>
      <x:c r="T10" s="134" t="str">
        <x:f>IF(OR($A10="",T$3=""),"",COUNTIFS(FINDINGS!$D$4:$D$203,$A10,FINDINGS!$B$4:$B$203,T$3))</x:f>
      </x:c>
      <x:c r="U10" s="134" t="str">
        <x:f>IF(OR($A10="",U$3=""),"",COUNTIFS(FINDINGS!$D$4:$D$203,$A10,FINDINGS!$B$4:$B$203,U$3))</x:f>
      </x:c>
      <x:c r="V10" s="134" t="str">
        <x:f>IF(OR($A10="",V$3=""),"",COUNTIFS(FINDINGS!$D$4:$D$203,$A10,FINDINGS!$B$4:$B$203,V$3))</x:f>
      </x:c>
      <x:c r="W10" s="134" t="str">
        <x:f>IF(OR($A10="",W$3=""),"",COUNTIFS(FINDINGS!$D$4:$D$203,$A10,FINDINGS!$B$4:$B$203,W$3))</x:f>
      </x:c>
      <x:c r="X10" s="134" t="str">
        <x:f>IF(OR($A10="",X$3=""),"",COUNTIFS(FINDINGS!$D$4:$D$203,$A10,FINDINGS!$B$4:$B$203,X$3))</x:f>
      </x:c>
      <x:c r="Y10" s="134" t="str">
        <x:f>IF(OR($A10="",Y$3=""),"",COUNTIFS(FINDINGS!$D$4:$D$203,$A10,FINDINGS!$B$4:$B$203,Y$3))</x:f>
      </x:c>
      <x:c r="Z10" s="134" t="str">
        <x:f>IF(OR($A10="",Z$3=""),"",COUNTIFS(FINDINGS!$D$4:$D$203,$A10,FINDINGS!$B$4:$B$203,Z$3))</x:f>
      </x:c>
      <x:c r="AA10" s="134" t="str">
        <x:f>IF(OR($A10="",AA$3=""),"",COUNTIFS(FINDINGS!$D$4:$D$203,$A10,FINDINGS!$B$4:$B$203,AA$3))</x:f>
      </x:c>
      <x:c r="AB10" s="134" t="str">
        <x:f>IF(OR($A10="",AB$3=""),"",COUNTIFS(FINDINGS!$D$4:$D$203,$A10,FINDINGS!$B$4:$B$203,AB$3))</x:f>
      </x:c>
      <x:c r="AC10" s="134" t="str">
        <x:f>IF(OR($A10="",AC$3=""),"",COUNTIFS(FINDINGS!$D$4:$D$203,$A10,FINDINGS!$B$4:$B$203,AC$3))</x:f>
      </x:c>
      <x:c r="AD10" s="134" t="str">
        <x:f>IF(OR($A10="",AD$3=""),"",COUNTIFS(FINDINGS!$D$4:$D$203,$A10,FINDINGS!$B$4:$B$203,AD$3))</x:f>
      </x:c>
      <x:c r="AE10" s="134" t="str">
        <x:f>IF(OR($A10="",AE$3=""),"",COUNTIFS(FINDINGS!$D$4:$D$203,$A10,FINDINGS!$B$4:$B$203,AE$3))</x:f>
      </x:c>
      <x:c r="AF10" s="134" t="str">
        <x:f>IF(OR($A10="",AF$3=""),"",COUNTIFS(FINDINGS!$D$4:$D$203,$A10,FINDINGS!$B$4:$B$203,AF$3))</x:f>
      </x:c>
      <x:c r="AG10" s="134" t="str">
        <x:f>IF(OR($A10="",AG$3=""),"",COUNTIFS(FINDINGS!$D$4:$D$203,$A10,FINDINGS!$B$4:$B$203,AG$3))</x:f>
      </x:c>
      <x:c r="AH10" s="134" t="str">
        <x:f>IF(OR($A10="",AH$3=""),"",COUNTIFS(FINDINGS!$D$4:$D$203,$A10,FINDINGS!$B$4:$B$203,AH$3))</x:f>
      </x:c>
      <x:c r="AI10" s="134" t="str">
        <x:f>IF(OR($A10="",AI$3=""),"",COUNTIFS(FINDINGS!$D$4:$D$203,$A10,FINDINGS!$B$4:$B$203,AI$3))</x:f>
      </x:c>
      <x:c r="AJ10" s="134" t="str">
        <x:f>IF(OR($A10="",AJ$3=""),"",COUNTIFS(FINDINGS!$D$4:$D$203,$A10,FINDINGS!$B$4:$B$203,AJ$3))</x:f>
      </x:c>
      <x:c r="AK10" s="134" t="str">
        <x:f>IF(OR($A10="",AK$3=""),"",COUNTIFS(FINDINGS!$D$4:$D$203,$A10,FINDINGS!$B$4:$B$203,AK$3))</x:f>
      </x:c>
      <x:c r="AL10" s="134" t="str">
        <x:f>IF(OR($A10="",AL$3=""),"",COUNTIFS(FINDINGS!$D$4:$D$203,$A10,FINDINGS!$B$4:$B$203,AL$3))</x:f>
      </x:c>
      <x:c r="AM10" s="134" t="str">
        <x:f>IF(OR($A10="",AM$3=""),"",COUNTIFS(FINDINGS!$D$4:$D$203,$A10,FINDINGS!$B$4:$B$203,AM$3))</x:f>
      </x:c>
      <x:c r="AN10" s="134" t="str">
        <x:f>IF(OR($A10="",AN$3=""),"",COUNTIFS(FINDINGS!$D$4:$D$203,$A10,FINDINGS!$B$4:$B$203,AN$3))</x:f>
      </x:c>
      <x:c r="AO10" s="134" t="str">
        <x:f>IF(OR($A10="",AO$3=""),"",COUNTIFS(FINDINGS!$D$4:$D$203,$A10,FINDINGS!$B$4:$B$203,AO$3))</x:f>
      </x:c>
      <x:c r="AP10" s="134" t="str">
        <x:f>IF(OR($A10="",AP$3=""),"",COUNTIFS(FINDINGS!$D$4:$D$203,$A10,FINDINGS!$B$4:$B$203,AP$3))</x:f>
      </x:c>
      <x:c r="AQ10" s="134" t="str">
        <x:f>IF(OR($A10="",AQ$3=""),"",COUNTIFS(FINDINGS!$D$4:$D$203,$A10,FINDINGS!$B$4:$B$203,AQ$3))</x:f>
      </x:c>
      <x:c r="AR10" s="91"/>
      <x:c r="AS10" s="91"/>
    </x:row>
    <x:row r="11">
      <x:c r="A11" s="126" t="str">
        <x:f>IF(B11="","","T"&amp;TEXT(ROW()-3,"00"))</x:f>
      </x:c>
      <x:c r="B11" s="119"/>
      <x:c r="C11" s="119"/>
      <x:c r="D11" s="119"/>
      <x:c r="E11" s="119"/>
      <x:c r="F11" s="119"/>
      <x:c r="G11" s="126" t="str">
        <x:f>IF(A11="","",COUNTIF(FINDINGS!$D$4:$D$203,A11))</x:f>
      </x:c>
      <x:c r="H11" s="126" t="str">
        <x:f>IF(A11="","",COUNTIF(O11:AQ11,"&gt;0"))</x:f>
      </x:c>
      <x:c r="I11" s="126" t="str">
        <x:f>IF(A11="","",COUNTIFS(FINDINGS!$D$4:$D$203,A11,FINDINGS!$J$4:$J$203,"Supports"))</x:f>
      </x:c>
      <x:c r="J11" s="126" t="str">
        <x:f>IF(A11="","",COUNTIFS(FINDINGS!$D$4:$D$203,A11,FINDINGS!$J$4:$J$203,"Contradicts"))</x:f>
      </x:c>
      <x:c r="K11" s="126" t="str">
        <x:f>IF(A11="","",COUNTIFS(FINDINGS!$D$4:$D$203,A11,FINDINGS!$J$4:$J$203,"Complicates"))</x:f>
      </x:c>
      <x:c r="L11" s="126" t="str">
        <x:f>IF(A11="","",COUNTIFS(FINDINGS!$D$4:$D$203,A11,FINDINGS!$J$4:$J$203,"Context"))</x:f>
      </x:c>
      <x:c r="M11" s="126" t="str">
        <x:f>IF(A11="","",IF(H11=0,"NO EVIDENCE",IF(AND(I11&gt;0,J11=0,K11=0),"ONE-SIDED",IF(OR(J11&gt;0,K11&gt;0),"MIXED / QUALIFY","CONTEXT-HEAVY"))))</x:f>
      </x:c>
      <x:c r="N11" s="126" t="str">
        <x:f>IF(A11="","",IF(H11&lt;2,"BUILD COVERAGE",IF(M11="ONE-SIDED","CHECK COUNTEREVIDENCE","READY TO SYNTHESIZE")))</x:f>
      </x:c>
      <x:c r="O11" s="134" t="str">
        <x:f>IF(OR($A11="",O$3=""),"",COUNTIFS(FINDINGS!$D$4:$D$203,$A11,FINDINGS!$B$4:$B$203,O$3))</x:f>
      </x:c>
      <x:c r="P11" s="134" t="str">
        <x:f>IF(OR($A11="",P$3=""),"",COUNTIFS(FINDINGS!$D$4:$D$203,$A11,FINDINGS!$B$4:$B$203,P$3))</x:f>
      </x:c>
      <x:c r="Q11" s="134" t="str">
        <x:f>IF(OR($A11="",Q$3=""),"",COUNTIFS(FINDINGS!$D$4:$D$203,$A11,FINDINGS!$B$4:$B$203,Q$3))</x:f>
      </x:c>
      <x:c r="R11" s="134" t="str">
        <x:f>IF(OR($A11="",R$3=""),"",COUNTIFS(FINDINGS!$D$4:$D$203,$A11,FINDINGS!$B$4:$B$203,R$3))</x:f>
      </x:c>
      <x:c r="S11" s="134" t="str">
        <x:f>IF(OR($A11="",S$3=""),"",COUNTIFS(FINDINGS!$D$4:$D$203,$A11,FINDINGS!$B$4:$B$203,S$3))</x:f>
      </x:c>
      <x:c r="T11" s="134" t="str">
        <x:f>IF(OR($A11="",T$3=""),"",COUNTIFS(FINDINGS!$D$4:$D$203,$A11,FINDINGS!$B$4:$B$203,T$3))</x:f>
      </x:c>
      <x:c r="U11" s="134" t="str">
        <x:f>IF(OR($A11="",U$3=""),"",COUNTIFS(FINDINGS!$D$4:$D$203,$A11,FINDINGS!$B$4:$B$203,U$3))</x:f>
      </x:c>
      <x:c r="V11" s="134" t="str">
        <x:f>IF(OR($A11="",V$3=""),"",COUNTIFS(FINDINGS!$D$4:$D$203,$A11,FINDINGS!$B$4:$B$203,V$3))</x:f>
      </x:c>
      <x:c r="W11" s="134" t="str">
        <x:f>IF(OR($A11="",W$3=""),"",COUNTIFS(FINDINGS!$D$4:$D$203,$A11,FINDINGS!$B$4:$B$203,W$3))</x:f>
      </x:c>
      <x:c r="X11" s="134" t="str">
        <x:f>IF(OR($A11="",X$3=""),"",COUNTIFS(FINDINGS!$D$4:$D$203,$A11,FINDINGS!$B$4:$B$203,X$3))</x:f>
      </x:c>
      <x:c r="Y11" s="134" t="str">
        <x:f>IF(OR($A11="",Y$3=""),"",COUNTIFS(FINDINGS!$D$4:$D$203,$A11,FINDINGS!$B$4:$B$203,Y$3))</x:f>
      </x:c>
      <x:c r="Z11" s="134" t="str">
        <x:f>IF(OR($A11="",Z$3=""),"",COUNTIFS(FINDINGS!$D$4:$D$203,$A11,FINDINGS!$B$4:$B$203,Z$3))</x:f>
      </x:c>
      <x:c r="AA11" s="134" t="str">
        <x:f>IF(OR($A11="",AA$3=""),"",COUNTIFS(FINDINGS!$D$4:$D$203,$A11,FINDINGS!$B$4:$B$203,AA$3))</x:f>
      </x:c>
      <x:c r="AB11" s="134" t="str">
        <x:f>IF(OR($A11="",AB$3=""),"",COUNTIFS(FINDINGS!$D$4:$D$203,$A11,FINDINGS!$B$4:$B$203,AB$3))</x:f>
      </x:c>
      <x:c r="AC11" s="134" t="str">
        <x:f>IF(OR($A11="",AC$3=""),"",COUNTIFS(FINDINGS!$D$4:$D$203,$A11,FINDINGS!$B$4:$B$203,AC$3))</x:f>
      </x:c>
      <x:c r="AD11" s="134" t="str">
        <x:f>IF(OR($A11="",AD$3=""),"",COUNTIFS(FINDINGS!$D$4:$D$203,$A11,FINDINGS!$B$4:$B$203,AD$3))</x:f>
      </x:c>
      <x:c r="AE11" s="134" t="str">
        <x:f>IF(OR($A11="",AE$3=""),"",COUNTIFS(FINDINGS!$D$4:$D$203,$A11,FINDINGS!$B$4:$B$203,AE$3))</x:f>
      </x:c>
      <x:c r="AF11" s="134" t="str">
        <x:f>IF(OR($A11="",AF$3=""),"",COUNTIFS(FINDINGS!$D$4:$D$203,$A11,FINDINGS!$B$4:$B$203,AF$3))</x:f>
      </x:c>
      <x:c r="AG11" s="134" t="str">
        <x:f>IF(OR($A11="",AG$3=""),"",COUNTIFS(FINDINGS!$D$4:$D$203,$A11,FINDINGS!$B$4:$B$203,AG$3))</x:f>
      </x:c>
      <x:c r="AH11" s="134" t="str">
        <x:f>IF(OR($A11="",AH$3=""),"",COUNTIFS(FINDINGS!$D$4:$D$203,$A11,FINDINGS!$B$4:$B$203,AH$3))</x:f>
      </x:c>
      <x:c r="AI11" s="134" t="str">
        <x:f>IF(OR($A11="",AI$3=""),"",COUNTIFS(FINDINGS!$D$4:$D$203,$A11,FINDINGS!$B$4:$B$203,AI$3))</x:f>
      </x:c>
      <x:c r="AJ11" s="134" t="str">
        <x:f>IF(OR($A11="",AJ$3=""),"",COUNTIFS(FINDINGS!$D$4:$D$203,$A11,FINDINGS!$B$4:$B$203,AJ$3))</x:f>
      </x:c>
      <x:c r="AK11" s="134" t="str">
        <x:f>IF(OR($A11="",AK$3=""),"",COUNTIFS(FINDINGS!$D$4:$D$203,$A11,FINDINGS!$B$4:$B$203,AK$3))</x:f>
      </x:c>
      <x:c r="AL11" s="134" t="str">
        <x:f>IF(OR($A11="",AL$3=""),"",COUNTIFS(FINDINGS!$D$4:$D$203,$A11,FINDINGS!$B$4:$B$203,AL$3))</x:f>
      </x:c>
      <x:c r="AM11" s="134" t="str">
        <x:f>IF(OR($A11="",AM$3=""),"",COUNTIFS(FINDINGS!$D$4:$D$203,$A11,FINDINGS!$B$4:$B$203,AM$3))</x:f>
      </x:c>
      <x:c r="AN11" s="134" t="str">
        <x:f>IF(OR($A11="",AN$3=""),"",COUNTIFS(FINDINGS!$D$4:$D$203,$A11,FINDINGS!$B$4:$B$203,AN$3))</x:f>
      </x:c>
      <x:c r="AO11" s="134" t="str">
        <x:f>IF(OR($A11="",AO$3=""),"",COUNTIFS(FINDINGS!$D$4:$D$203,$A11,FINDINGS!$B$4:$B$203,AO$3))</x:f>
      </x:c>
      <x:c r="AP11" s="134" t="str">
        <x:f>IF(OR($A11="",AP$3=""),"",COUNTIFS(FINDINGS!$D$4:$D$203,$A11,FINDINGS!$B$4:$B$203,AP$3))</x:f>
      </x:c>
      <x:c r="AQ11" s="134" t="str">
        <x:f>IF(OR($A11="",AQ$3=""),"",COUNTIFS(FINDINGS!$D$4:$D$203,$A11,FINDINGS!$B$4:$B$203,AQ$3))</x:f>
      </x:c>
      <x:c r="AR11" s="91"/>
      <x:c r="AS11" s="91"/>
    </x:row>
    <x:row r="12">
      <x:c r="A12" s="126" t="str">
        <x:f>IF(B12="","","T"&amp;TEXT(ROW()-3,"00"))</x:f>
      </x:c>
      <x:c r="B12" s="119"/>
      <x:c r="C12" s="119"/>
      <x:c r="D12" s="119"/>
      <x:c r="E12" s="119"/>
      <x:c r="F12" s="119"/>
      <x:c r="G12" s="126" t="str">
        <x:f>IF(A12="","",COUNTIF(FINDINGS!$D$4:$D$203,A12))</x:f>
      </x:c>
      <x:c r="H12" s="126" t="str">
        <x:f>IF(A12="","",COUNTIF(O12:AQ12,"&gt;0"))</x:f>
      </x:c>
      <x:c r="I12" s="126" t="str">
        <x:f>IF(A12="","",COUNTIFS(FINDINGS!$D$4:$D$203,A12,FINDINGS!$J$4:$J$203,"Supports"))</x:f>
      </x:c>
      <x:c r="J12" s="126" t="str">
        <x:f>IF(A12="","",COUNTIFS(FINDINGS!$D$4:$D$203,A12,FINDINGS!$J$4:$J$203,"Contradicts"))</x:f>
      </x:c>
      <x:c r="K12" s="126" t="str">
        <x:f>IF(A12="","",COUNTIFS(FINDINGS!$D$4:$D$203,A12,FINDINGS!$J$4:$J$203,"Complicates"))</x:f>
      </x:c>
      <x:c r="L12" s="126" t="str">
        <x:f>IF(A12="","",COUNTIFS(FINDINGS!$D$4:$D$203,A12,FINDINGS!$J$4:$J$203,"Context"))</x:f>
      </x:c>
      <x:c r="M12" s="126" t="str">
        <x:f>IF(A12="","",IF(H12=0,"NO EVIDENCE",IF(AND(I12&gt;0,J12=0,K12=0),"ONE-SIDED",IF(OR(J12&gt;0,K12&gt;0),"MIXED / QUALIFY","CONTEXT-HEAVY"))))</x:f>
      </x:c>
      <x:c r="N12" s="126" t="str">
        <x:f>IF(A12="","",IF(H12&lt;2,"BUILD COVERAGE",IF(M12="ONE-SIDED","CHECK COUNTEREVIDENCE","READY TO SYNTHESIZE")))</x:f>
      </x:c>
      <x:c r="O12" s="134" t="str">
        <x:f>IF(OR($A12="",O$3=""),"",COUNTIFS(FINDINGS!$D$4:$D$203,$A12,FINDINGS!$B$4:$B$203,O$3))</x:f>
      </x:c>
      <x:c r="P12" s="134" t="str">
        <x:f>IF(OR($A12="",P$3=""),"",COUNTIFS(FINDINGS!$D$4:$D$203,$A12,FINDINGS!$B$4:$B$203,P$3))</x:f>
      </x:c>
      <x:c r="Q12" s="134" t="str">
        <x:f>IF(OR($A12="",Q$3=""),"",COUNTIFS(FINDINGS!$D$4:$D$203,$A12,FINDINGS!$B$4:$B$203,Q$3))</x:f>
      </x:c>
      <x:c r="R12" s="134" t="str">
        <x:f>IF(OR($A12="",R$3=""),"",COUNTIFS(FINDINGS!$D$4:$D$203,$A12,FINDINGS!$B$4:$B$203,R$3))</x:f>
      </x:c>
      <x:c r="S12" s="134" t="str">
        <x:f>IF(OR($A12="",S$3=""),"",COUNTIFS(FINDINGS!$D$4:$D$203,$A12,FINDINGS!$B$4:$B$203,S$3))</x:f>
      </x:c>
      <x:c r="T12" s="134" t="str">
        <x:f>IF(OR($A12="",T$3=""),"",COUNTIFS(FINDINGS!$D$4:$D$203,$A12,FINDINGS!$B$4:$B$203,T$3))</x:f>
      </x:c>
      <x:c r="U12" s="134" t="str">
        <x:f>IF(OR($A12="",U$3=""),"",COUNTIFS(FINDINGS!$D$4:$D$203,$A12,FINDINGS!$B$4:$B$203,U$3))</x:f>
      </x:c>
      <x:c r="V12" s="134" t="str">
        <x:f>IF(OR($A12="",V$3=""),"",COUNTIFS(FINDINGS!$D$4:$D$203,$A12,FINDINGS!$B$4:$B$203,V$3))</x:f>
      </x:c>
      <x:c r="W12" s="134" t="str">
        <x:f>IF(OR($A12="",W$3=""),"",COUNTIFS(FINDINGS!$D$4:$D$203,$A12,FINDINGS!$B$4:$B$203,W$3))</x:f>
      </x:c>
      <x:c r="X12" s="134" t="str">
        <x:f>IF(OR($A12="",X$3=""),"",COUNTIFS(FINDINGS!$D$4:$D$203,$A12,FINDINGS!$B$4:$B$203,X$3))</x:f>
      </x:c>
      <x:c r="Y12" s="134" t="str">
        <x:f>IF(OR($A12="",Y$3=""),"",COUNTIFS(FINDINGS!$D$4:$D$203,$A12,FINDINGS!$B$4:$B$203,Y$3))</x:f>
      </x:c>
      <x:c r="Z12" s="134" t="str">
        <x:f>IF(OR($A12="",Z$3=""),"",COUNTIFS(FINDINGS!$D$4:$D$203,$A12,FINDINGS!$B$4:$B$203,Z$3))</x:f>
      </x:c>
      <x:c r="AA12" s="134" t="str">
        <x:f>IF(OR($A12="",AA$3=""),"",COUNTIFS(FINDINGS!$D$4:$D$203,$A12,FINDINGS!$B$4:$B$203,AA$3))</x:f>
      </x:c>
      <x:c r="AB12" s="134" t="str">
        <x:f>IF(OR($A12="",AB$3=""),"",COUNTIFS(FINDINGS!$D$4:$D$203,$A12,FINDINGS!$B$4:$B$203,AB$3))</x:f>
      </x:c>
      <x:c r="AC12" s="134" t="str">
        <x:f>IF(OR($A12="",AC$3=""),"",COUNTIFS(FINDINGS!$D$4:$D$203,$A12,FINDINGS!$B$4:$B$203,AC$3))</x:f>
      </x:c>
      <x:c r="AD12" s="134" t="str">
        <x:f>IF(OR($A12="",AD$3=""),"",COUNTIFS(FINDINGS!$D$4:$D$203,$A12,FINDINGS!$B$4:$B$203,AD$3))</x:f>
      </x:c>
      <x:c r="AE12" s="134" t="str">
        <x:f>IF(OR($A12="",AE$3=""),"",COUNTIFS(FINDINGS!$D$4:$D$203,$A12,FINDINGS!$B$4:$B$203,AE$3))</x:f>
      </x:c>
      <x:c r="AF12" s="134" t="str">
        <x:f>IF(OR($A12="",AF$3=""),"",COUNTIFS(FINDINGS!$D$4:$D$203,$A12,FINDINGS!$B$4:$B$203,AF$3))</x:f>
      </x:c>
      <x:c r="AG12" s="134" t="str">
        <x:f>IF(OR($A12="",AG$3=""),"",COUNTIFS(FINDINGS!$D$4:$D$203,$A12,FINDINGS!$B$4:$B$203,AG$3))</x:f>
      </x:c>
      <x:c r="AH12" s="134" t="str">
        <x:f>IF(OR($A12="",AH$3=""),"",COUNTIFS(FINDINGS!$D$4:$D$203,$A12,FINDINGS!$B$4:$B$203,AH$3))</x:f>
      </x:c>
      <x:c r="AI12" s="134" t="str">
        <x:f>IF(OR($A12="",AI$3=""),"",COUNTIFS(FINDINGS!$D$4:$D$203,$A12,FINDINGS!$B$4:$B$203,AI$3))</x:f>
      </x:c>
      <x:c r="AJ12" s="134" t="str">
        <x:f>IF(OR($A12="",AJ$3=""),"",COUNTIFS(FINDINGS!$D$4:$D$203,$A12,FINDINGS!$B$4:$B$203,AJ$3))</x:f>
      </x:c>
      <x:c r="AK12" s="134" t="str">
        <x:f>IF(OR($A12="",AK$3=""),"",COUNTIFS(FINDINGS!$D$4:$D$203,$A12,FINDINGS!$B$4:$B$203,AK$3))</x:f>
      </x:c>
      <x:c r="AL12" s="134" t="str">
        <x:f>IF(OR($A12="",AL$3=""),"",COUNTIFS(FINDINGS!$D$4:$D$203,$A12,FINDINGS!$B$4:$B$203,AL$3))</x:f>
      </x:c>
      <x:c r="AM12" s="134" t="str">
        <x:f>IF(OR($A12="",AM$3=""),"",COUNTIFS(FINDINGS!$D$4:$D$203,$A12,FINDINGS!$B$4:$B$203,AM$3))</x:f>
      </x:c>
      <x:c r="AN12" s="134" t="str">
        <x:f>IF(OR($A12="",AN$3=""),"",COUNTIFS(FINDINGS!$D$4:$D$203,$A12,FINDINGS!$B$4:$B$203,AN$3))</x:f>
      </x:c>
      <x:c r="AO12" s="134" t="str">
        <x:f>IF(OR($A12="",AO$3=""),"",COUNTIFS(FINDINGS!$D$4:$D$203,$A12,FINDINGS!$B$4:$B$203,AO$3))</x:f>
      </x:c>
      <x:c r="AP12" s="134" t="str">
        <x:f>IF(OR($A12="",AP$3=""),"",COUNTIFS(FINDINGS!$D$4:$D$203,$A12,FINDINGS!$B$4:$B$203,AP$3))</x:f>
      </x:c>
      <x:c r="AQ12" s="134" t="str">
        <x:f>IF(OR($A12="",AQ$3=""),"",COUNTIFS(FINDINGS!$D$4:$D$203,$A12,FINDINGS!$B$4:$B$203,AQ$3))</x:f>
      </x:c>
      <x:c r="AR12" s="91"/>
      <x:c r="AS12" s="91"/>
    </x:row>
    <x:row r="13">
      <x:c r="A13" s="126" t="str">
        <x:f>IF(B13="","","T"&amp;TEXT(ROW()-3,"00"))</x:f>
      </x:c>
      <x:c r="B13" s="119"/>
      <x:c r="C13" s="119"/>
      <x:c r="D13" s="119"/>
      <x:c r="E13" s="119"/>
      <x:c r="F13" s="119"/>
      <x:c r="G13" s="126" t="str">
        <x:f>IF(A13="","",COUNTIF(FINDINGS!$D$4:$D$203,A13))</x:f>
      </x:c>
      <x:c r="H13" s="126" t="str">
        <x:f>IF(A13="","",COUNTIF(O13:AQ13,"&gt;0"))</x:f>
      </x:c>
      <x:c r="I13" s="126" t="str">
        <x:f>IF(A13="","",COUNTIFS(FINDINGS!$D$4:$D$203,A13,FINDINGS!$J$4:$J$203,"Supports"))</x:f>
      </x:c>
      <x:c r="J13" s="126" t="str">
        <x:f>IF(A13="","",COUNTIFS(FINDINGS!$D$4:$D$203,A13,FINDINGS!$J$4:$J$203,"Contradicts"))</x:f>
      </x:c>
      <x:c r="K13" s="126" t="str">
        <x:f>IF(A13="","",COUNTIFS(FINDINGS!$D$4:$D$203,A13,FINDINGS!$J$4:$J$203,"Complicates"))</x:f>
      </x:c>
      <x:c r="L13" s="126" t="str">
        <x:f>IF(A13="","",COUNTIFS(FINDINGS!$D$4:$D$203,A13,FINDINGS!$J$4:$J$203,"Context"))</x:f>
      </x:c>
      <x:c r="M13" s="126" t="str">
        <x:f>IF(A13="","",IF(H13=0,"NO EVIDENCE",IF(AND(I13&gt;0,J13=0,K13=0),"ONE-SIDED",IF(OR(J13&gt;0,K13&gt;0),"MIXED / QUALIFY","CONTEXT-HEAVY"))))</x:f>
      </x:c>
      <x:c r="N13" s="126" t="str">
        <x:f>IF(A13="","",IF(H13&lt;2,"BUILD COVERAGE",IF(M13="ONE-SIDED","CHECK COUNTEREVIDENCE","READY TO SYNTHESIZE")))</x:f>
      </x:c>
      <x:c r="O13" s="134" t="str">
        <x:f>IF(OR($A13="",O$3=""),"",COUNTIFS(FINDINGS!$D$4:$D$203,$A13,FINDINGS!$B$4:$B$203,O$3))</x:f>
      </x:c>
      <x:c r="P13" s="134" t="str">
        <x:f>IF(OR($A13="",P$3=""),"",COUNTIFS(FINDINGS!$D$4:$D$203,$A13,FINDINGS!$B$4:$B$203,P$3))</x:f>
      </x:c>
      <x:c r="Q13" s="134" t="str">
        <x:f>IF(OR($A13="",Q$3=""),"",COUNTIFS(FINDINGS!$D$4:$D$203,$A13,FINDINGS!$B$4:$B$203,Q$3))</x:f>
      </x:c>
      <x:c r="R13" s="134" t="str">
        <x:f>IF(OR($A13="",R$3=""),"",COUNTIFS(FINDINGS!$D$4:$D$203,$A13,FINDINGS!$B$4:$B$203,R$3))</x:f>
      </x:c>
      <x:c r="S13" s="134" t="str">
        <x:f>IF(OR($A13="",S$3=""),"",COUNTIFS(FINDINGS!$D$4:$D$203,$A13,FINDINGS!$B$4:$B$203,S$3))</x:f>
      </x:c>
      <x:c r="T13" s="134" t="str">
        <x:f>IF(OR($A13="",T$3=""),"",COUNTIFS(FINDINGS!$D$4:$D$203,$A13,FINDINGS!$B$4:$B$203,T$3))</x:f>
      </x:c>
      <x:c r="U13" s="134" t="str">
        <x:f>IF(OR($A13="",U$3=""),"",COUNTIFS(FINDINGS!$D$4:$D$203,$A13,FINDINGS!$B$4:$B$203,U$3))</x:f>
      </x:c>
      <x:c r="V13" s="134" t="str">
        <x:f>IF(OR($A13="",V$3=""),"",COUNTIFS(FINDINGS!$D$4:$D$203,$A13,FINDINGS!$B$4:$B$203,V$3))</x:f>
      </x:c>
      <x:c r="W13" s="134" t="str">
        <x:f>IF(OR($A13="",W$3=""),"",COUNTIFS(FINDINGS!$D$4:$D$203,$A13,FINDINGS!$B$4:$B$203,W$3))</x:f>
      </x:c>
      <x:c r="X13" s="134" t="str">
        <x:f>IF(OR($A13="",X$3=""),"",COUNTIFS(FINDINGS!$D$4:$D$203,$A13,FINDINGS!$B$4:$B$203,X$3))</x:f>
      </x:c>
      <x:c r="Y13" s="134" t="str">
        <x:f>IF(OR($A13="",Y$3=""),"",COUNTIFS(FINDINGS!$D$4:$D$203,$A13,FINDINGS!$B$4:$B$203,Y$3))</x:f>
      </x:c>
      <x:c r="Z13" s="134" t="str">
        <x:f>IF(OR($A13="",Z$3=""),"",COUNTIFS(FINDINGS!$D$4:$D$203,$A13,FINDINGS!$B$4:$B$203,Z$3))</x:f>
      </x:c>
      <x:c r="AA13" s="134" t="str">
        <x:f>IF(OR($A13="",AA$3=""),"",COUNTIFS(FINDINGS!$D$4:$D$203,$A13,FINDINGS!$B$4:$B$203,AA$3))</x:f>
      </x:c>
      <x:c r="AB13" s="134" t="str">
        <x:f>IF(OR($A13="",AB$3=""),"",COUNTIFS(FINDINGS!$D$4:$D$203,$A13,FINDINGS!$B$4:$B$203,AB$3))</x:f>
      </x:c>
      <x:c r="AC13" s="134" t="str">
        <x:f>IF(OR($A13="",AC$3=""),"",COUNTIFS(FINDINGS!$D$4:$D$203,$A13,FINDINGS!$B$4:$B$203,AC$3))</x:f>
      </x:c>
      <x:c r="AD13" s="134" t="str">
        <x:f>IF(OR($A13="",AD$3=""),"",COUNTIFS(FINDINGS!$D$4:$D$203,$A13,FINDINGS!$B$4:$B$203,AD$3))</x:f>
      </x:c>
      <x:c r="AE13" s="134" t="str">
        <x:f>IF(OR($A13="",AE$3=""),"",COUNTIFS(FINDINGS!$D$4:$D$203,$A13,FINDINGS!$B$4:$B$203,AE$3))</x:f>
      </x:c>
      <x:c r="AF13" s="134" t="str">
        <x:f>IF(OR($A13="",AF$3=""),"",COUNTIFS(FINDINGS!$D$4:$D$203,$A13,FINDINGS!$B$4:$B$203,AF$3))</x:f>
      </x:c>
      <x:c r="AG13" s="134" t="str">
        <x:f>IF(OR($A13="",AG$3=""),"",COUNTIFS(FINDINGS!$D$4:$D$203,$A13,FINDINGS!$B$4:$B$203,AG$3))</x:f>
      </x:c>
      <x:c r="AH13" s="134" t="str">
        <x:f>IF(OR($A13="",AH$3=""),"",COUNTIFS(FINDINGS!$D$4:$D$203,$A13,FINDINGS!$B$4:$B$203,AH$3))</x:f>
      </x:c>
      <x:c r="AI13" s="134" t="str">
        <x:f>IF(OR($A13="",AI$3=""),"",COUNTIFS(FINDINGS!$D$4:$D$203,$A13,FINDINGS!$B$4:$B$203,AI$3))</x:f>
      </x:c>
      <x:c r="AJ13" s="134" t="str">
        <x:f>IF(OR($A13="",AJ$3=""),"",COUNTIFS(FINDINGS!$D$4:$D$203,$A13,FINDINGS!$B$4:$B$203,AJ$3))</x:f>
      </x:c>
      <x:c r="AK13" s="134" t="str">
        <x:f>IF(OR($A13="",AK$3=""),"",COUNTIFS(FINDINGS!$D$4:$D$203,$A13,FINDINGS!$B$4:$B$203,AK$3))</x:f>
      </x:c>
      <x:c r="AL13" s="134" t="str">
        <x:f>IF(OR($A13="",AL$3=""),"",COUNTIFS(FINDINGS!$D$4:$D$203,$A13,FINDINGS!$B$4:$B$203,AL$3))</x:f>
      </x:c>
      <x:c r="AM13" s="134" t="str">
        <x:f>IF(OR($A13="",AM$3=""),"",COUNTIFS(FINDINGS!$D$4:$D$203,$A13,FINDINGS!$B$4:$B$203,AM$3))</x:f>
      </x:c>
      <x:c r="AN13" s="134" t="str">
        <x:f>IF(OR($A13="",AN$3=""),"",COUNTIFS(FINDINGS!$D$4:$D$203,$A13,FINDINGS!$B$4:$B$203,AN$3))</x:f>
      </x:c>
      <x:c r="AO13" s="134" t="str">
        <x:f>IF(OR($A13="",AO$3=""),"",COUNTIFS(FINDINGS!$D$4:$D$203,$A13,FINDINGS!$B$4:$B$203,AO$3))</x:f>
      </x:c>
      <x:c r="AP13" s="134" t="str">
        <x:f>IF(OR($A13="",AP$3=""),"",COUNTIFS(FINDINGS!$D$4:$D$203,$A13,FINDINGS!$B$4:$B$203,AP$3))</x:f>
      </x:c>
      <x:c r="AQ13" s="134" t="str">
        <x:f>IF(OR($A13="",AQ$3=""),"",COUNTIFS(FINDINGS!$D$4:$D$203,$A13,FINDINGS!$B$4:$B$203,AQ$3))</x:f>
      </x:c>
      <x:c r="AR13" s="91"/>
      <x:c r="AS13" s="91"/>
    </x:row>
    <x:row r="14">
      <x:c r="A14" s="126" t="str">
        <x:f>IF(B14="","","T"&amp;TEXT(ROW()-3,"00"))</x:f>
      </x:c>
      <x:c r="B14" s="119"/>
      <x:c r="C14" s="119"/>
      <x:c r="D14" s="119"/>
      <x:c r="E14" s="119"/>
      <x:c r="F14" s="119"/>
      <x:c r="G14" s="126" t="str">
        <x:f>IF(A14="","",COUNTIF(FINDINGS!$D$4:$D$203,A14))</x:f>
      </x:c>
      <x:c r="H14" s="126" t="str">
        <x:f>IF(A14="","",COUNTIF(O14:AQ14,"&gt;0"))</x:f>
      </x:c>
      <x:c r="I14" s="126" t="str">
        <x:f>IF(A14="","",COUNTIFS(FINDINGS!$D$4:$D$203,A14,FINDINGS!$J$4:$J$203,"Supports"))</x:f>
      </x:c>
      <x:c r="J14" s="126" t="str">
        <x:f>IF(A14="","",COUNTIFS(FINDINGS!$D$4:$D$203,A14,FINDINGS!$J$4:$J$203,"Contradicts"))</x:f>
      </x:c>
      <x:c r="K14" s="126" t="str">
        <x:f>IF(A14="","",COUNTIFS(FINDINGS!$D$4:$D$203,A14,FINDINGS!$J$4:$J$203,"Complicates"))</x:f>
      </x:c>
      <x:c r="L14" s="126" t="str">
        <x:f>IF(A14="","",COUNTIFS(FINDINGS!$D$4:$D$203,A14,FINDINGS!$J$4:$J$203,"Context"))</x:f>
      </x:c>
      <x:c r="M14" s="126" t="str">
        <x:f>IF(A14="","",IF(H14=0,"NO EVIDENCE",IF(AND(I14&gt;0,J14=0,K14=0),"ONE-SIDED",IF(OR(J14&gt;0,K14&gt;0),"MIXED / QUALIFY","CONTEXT-HEAVY"))))</x:f>
      </x:c>
      <x:c r="N14" s="126" t="str">
        <x:f>IF(A14="","",IF(H14&lt;2,"BUILD COVERAGE",IF(M14="ONE-SIDED","CHECK COUNTEREVIDENCE","READY TO SYNTHESIZE")))</x:f>
      </x:c>
      <x:c r="O14" s="134" t="str">
        <x:f>IF(OR($A14="",O$3=""),"",COUNTIFS(FINDINGS!$D$4:$D$203,$A14,FINDINGS!$B$4:$B$203,O$3))</x:f>
      </x:c>
      <x:c r="P14" s="134" t="str">
        <x:f>IF(OR($A14="",P$3=""),"",COUNTIFS(FINDINGS!$D$4:$D$203,$A14,FINDINGS!$B$4:$B$203,P$3))</x:f>
      </x:c>
      <x:c r="Q14" s="134" t="str">
        <x:f>IF(OR($A14="",Q$3=""),"",COUNTIFS(FINDINGS!$D$4:$D$203,$A14,FINDINGS!$B$4:$B$203,Q$3))</x:f>
      </x:c>
      <x:c r="R14" s="134" t="str">
        <x:f>IF(OR($A14="",R$3=""),"",COUNTIFS(FINDINGS!$D$4:$D$203,$A14,FINDINGS!$B$4:$B$203,R$3))</x:f>
      </x:c>
      <x:c r="S14" s="134" t="str">
        <x:f>IF(OR($A14="",S$3=""),"",COUNTIFS(FINDINGS!$D$4:$D$203,$A14,FINDINGS!$B$4:$B$203,S$3))</x:f>
      </x:c>
      <x:c r="T14" s="134" t="str">
        <x:f>IF(OR($A14="",T$3=""),"",COUNTIFS(FINDINGS!$D$4:$D$203,$A14,FINDINGS!$B$4:$B$203,T$3))</x:f>
      </x:c>
      <x:c r="U14" s="134" t="str">
        <x:f>IF(OR($A14="",U$3=""),"",COUNTIFS(FINDINGS!$D$4:$D$203,$A14,FINDINGS!$B$4:$B$203,U$3))</x:f>
      </x:c>
      <x:c r="V14" s="134" t="str">
        <x:f>IF(OR($A14="",V$3=""),"",COUNTIFS(FINDINGS!$D$4:$D$203,$A14,FINDINGS!$B$4:$B$203,V$3))</x:f>
      </x:c>
      <x:c r="W14" s="134" t="str">
        <x:f>IF(OR($A14="",W$3=""),"",COUNTIFS(FINDINGS!$D$4:$D$203,$A14,FINDINGS!$B$4:$B$203,W$3))</x:f>
      </x:c>
      <x:c r="X14" s="134" t="str">
        <x:f>IF(OR($A14="",X$3=""),"",COUNTIFS(FINDINGS!$D$4:$D$203,$A14,FINDINGS!$B$4:$B$203,X$3))</x:f>
      </x:c>
      <x:c r="Y14" s="134" t="str">
        <x:f>IF(OR($A14="",Y$3=""),"",COUNTIFS(FINDINGS!$D$4:$D$203,$A14,FINDINGS!$B$4:$B$203,Y$3))</x:f>
      </x:c>
      <x:c r="Z14" s="134" t="str">
        <x:f>IF(OR($A14="",Z$3=""),"",COUNTIFS(FINDINGS!$D$4:$D$203,$A14,FINDINGS!$B$4:$B$203,Z$3))</x:f>
      </x:c>
      <x:c r="AA14" s="134" t="str">
        <x:f>IF(OR($A14="",AA$3=""),"",COUNTIFS(FINDINGS!$D$4:$D$203,$A14,FINDINGS!$B$4:$B$203,AA$3))</x:f>
      </x:c>
      <x:c r="AB14" s="134" t="str">
        <x:f>IF(OR($A14="",AB$3=""),"",COUNTIFS(FINDINGS!$D$4:$D$203,$A14,FINDINGS!$B$4:$B$203,AB$3))</x:f>
      </x:c>
      <x:c r="AC14" s="134" t="str">
        <x:f>IF(OR($A14="",AC$3=""),"",COUNTIFS(FINDINGS!$D$4:$D$203,$A14,FINDINGS!$B$4:$B$203,AC$3))</x:f>
      </x:c>
      <x:c r="AD14" s="134" t="str">
        <x:f>IF(OR($A14="",AD$3=""),"",COUNTIFS(FINDINGS!$D$4:$D$203,$A14,FINDINGS!$B$4:$B$203,AD$3))</x:f>
      </x:c>
      <x:c r="AE14" s="134" t="str">
        <x:f>IF(OR($A14="",AE$3=""),"",COUNTIFS(FINDINGS!$D$4:$D$203,$A14,FINDINGS!$B$4:$B$203,AE$3))</x:f>
      </x:c>
      <x:c r="AF14" s="134" t="str">
        <x:f>IF(OR($A14="",AF$3=""),"",COUNTIFS(FINDINGS!$D$4:$D$203,$A14,FINDINGS!$B$4:$B$203,AF$3))</x:f>
      </x:c>
      <x:c r="AG14" s="134" t="str">
        <x:f>IF(OR($A14="",AG$3=""),"",COUNTIFS(FINDINGS!$D$4:$D$203,$A14,FINDINGS!$B$4:$B$203,AG$3))</x:f>
      </x:c>
      <x:c r="AH14" s="134" t="str">
        <x:f>IF(OR($A14="",AH$3=""),"",COUNTIFS(FINDINGS!$D$4:$D$203,$A14,FINDINGS!$B$4:$B$203,AH$3))</x:f>
      </x:c>
      <x:c r="AI14" s="134" t="str">
        <x:f>IF(OR($A14="",AI$3=""),"",COUNTIFS(FINDINGS!$D$4:$D$203,$A14,FINDINGS!$B$4:$B$203,AI$3))</x:f>
      </x:c>
      <x:c r="AJ14" s="134" t="str">
        <x:f>IF(OR($A14="",AJ$3=""),"",COUNTIFS(FINDINGS!$D$4:$D$203,$A14,FINDINGS!$B$4:$B$203,AJ$3))</x:f>
      </x:c>
      <x:c r="AK14" s="134" t="str">
        <x:f>IF(OR($A14="",AK$3=""),"",COUNTIFS(FINDINGS!$D$4:$D$203,$A14,FINDINGS!$B$4:$B$203,AK$3))</x:f>
      </x:c>
      <x:c r="AL14" s="134" t="str">
        <x:f>IF(OR($A14="",AL$3=""),"",COUNTIFS(FINDINGS!$D$4:$D$203,$A14,FINDINGS!$B$4:$B$203,AL$3))</x:f>
      </x:c>
      <x:c r="AM14" s="134" t="str">
        <x:f>IF(OR($A14="",AM$3=""),"",COUNTIFS(FINDINGS!$D$4:$D$203,$A14,FINDINGS!$B$4:$B$203,AM$3))</x:f>
      </x:c>
      <x:c r="AN14" s="134" t="str">
        <x:f>IF(OR($A14="",AN$3=""),"",COUNTIFS(FINDINGS!$D$4:$D$203,$A14,FINDINGS!$B$4:$B$203,AN$3))</x:f>
      </x:c>
      <x:c r="AO14" s="134" t="str">
        <x:f>IF(OR($A14="",AO$3=""),"",COUNTIFS(FINDINGS!$D$4:$D$203,$A14,FINDINGS!$B$4:$B$203,AO$3))</x:f>
      </x:c>
      <x:c r="AP14" s="134" t="str">
        <x:f>IF(OR($A14="",AP$3=""),"",COUNTIFS(FINDINGS!$D$4:$D$203,$A14,FINDINGS!$B$4:$B$203,AP$3))</x:f>
      </x:c>
      <x:c r="AQ14" s="134" t="str">
        <x:f>IF(OR($A14="",AQ$3=""),"",COUNTIFS(FINDINGS!$D$4:$D$203,$A14,FINDINGS!$B$4:$B$203,AQ$3))</x:f>
      </x:c>
      <x:c r="AR14" s="91"/>
      <x:c r="AS14" s="91"/>
    </x:row>
    <x:row r="15">
      <x:c r="A15" s="126" t="str">
        <x:f>IF(B15="","","T"&amp;TEXT(ROW()-3,"00"))</x:f>
      </x:c>
      <x:c r="B15" s="119"/>
      <x:c r="C15" s="119"/>
      <x:c r="D15" s="119"/>
      <x:c r="E15" s="119"/>
      <x:c r="F15" s="119"/>
      <x:c r="G15" s="126" t="str">
        <x:f>IF(A15="","",COUNTIF(FINDINGS!$D$4:$D$203,A15))</x:f>
      </x:c>
      <x:c r="H15" s="126" t="str">
        <x:f>IF(A15="","",COUNTIF(O15:AQ15,"&gt;0"))</x:f>
      </x:c>
      <x:c r="I15" s="126" t="str">
        <x:f>IF(A15="","",COUNTIFS(FINDINGS!$D$4:$D$203,A15,FINDINGS!$J$4:$J$203,"Supports"))</x:f>
      </x:c>
      <x:c r="J15" s="126" t="str">
        <x:f>IF(A15="","",COUNTIFS(FINDINGS!$D$4:$D$203,A15,FINDINGS!$J$4:$J$203,"Contradicts"))</x:f>
      </x:c>
      <x:c r="K15" s="126" t="str">
        <x:f>IF(A15="","",COUNTIFS(FINDINGS!$D$4:$D$203,A15,FINDINGS!$J$4:$J$203,"Complicates"))</x:f>
      </x:c>
      <x:c r="L15" s="126" t="str">
        <x:f>IF(A15="","",COUNTIFS(FINDINGS!$D$4:$D$203,A15,FINDINGS!$J$4:$J$203,"Context"))</x:f>
      </x:c>
      <x:c r="M15" s="126" t="str">
        <x:f>IF(A15="","",IF(H15=0,"NO EVIDENCE",IF(AND(I15&gt;0,J15=0,K15=0),"ONE-SIDED",IF(OR(J15&gt;0,K15&gt;0),"MIXED / QUALIFY","CONTEXT-HEAVY"))))</x:f>
      </x:c>
      <x:c r="N15" s="126" t="str">
        <x:f>IF(A15="","",IF(H15&lt;2,"BUILD COVERAGE",IF(M15="ONE-SIDED","CHECK COUNTEREVIDENCE","READY TO SYNTHESIZE")))</x:f>
      </x:c>
      <x:c r="O15" s="134" t="str">
        <x:f>IF(OR($A15="",O$3=""),"",COUNTIFS(FINDINGS!$D$4:$D$203,$A15,FINDINGS!$B$4:$B$203,O$3))</x:f>
      </x:c>
      <x:c r="P15" s="134" t="str">
        <x:f>IF(OR($A15="",P$3=""),"",COUNTIFS(FINDINGS!$D$4:$D$203,$A15,FINDINGS!$B$4:$B$203,P$3))</x:f>
      </x:c>
      <x:c r="Q15" s="134" t="str">
        <x:f>IF(OR($A15="",Q$3=""),"",COUNTIFS(FINDINGS!$D$4:$D$203,$A15,FINDINGS!$B$4:$B$203,Q$3))</x:f>
      </x:c>
      <x:c r="R15" s="134" t="str">
        <x:f>IF(OR($A15="",R$3=""),"",COUNTIFS(FINDINGS!$D$4:$D$203,$A15,FINDINGS!$B$4:$B$203,R$3))</x:f>
      </x:c>
      <x:c r="S15" s="134" t="str">
        <x:f>IF(OR($A15="",S$3=""),"",COUNTIFS(FINDINGS!$D$4:$D$203,$A15,FINDINGS!$B$4:$B$203,S$3))</x:f>
      </x:c>
      <x:c r="T15" s="134" t="str">
        <x:f>IF(OR($A15="",T$3=""),"",COUNTIFS(FINDINGS!$D$4:$D$203,$A15,FINDINGS!$B$4:$B$203,T$3))</x:f>
      </x:c>
      <x:c r="U15" s="134" t="str">
        <x:f>IF(OR($A15="",U$3=""),"",COUNTIFS(FINDINGS!$D$4:$D$203,$A15,FINDINGS!$B$4:$B$203,U$3))</x:f>
      </x:c>
      <x:c r="V15" s="134" t="str">
        <x:f>IF(OR($A15="",V$3=""),"",COUNTIFS(FINDINGS!$D$4:$D$203,$A15,FINDINGS!$B$4:$B$203,V$3))</x:f>
      </x:c>
      <x:c r="W15" s="134" t="str">
        <x:f>IF(OR($A15="",W$3=""),"",COUNTIFS(FINDINGS!$D$4:$D$203,$A15,FINDINGS!$B$4:$B$203,W$3))</x:f>
      </x:c>
      <x:c r="X15" s="134" t="str">
        <x:f>IF(OR($A15="",X$3=""),"",COUNTIFS(FINDINGS!$D$4:$D$203,$A15,FINDINGS!$B$4:$B$203,X$3))</x:f>
      </x:c>
      <x:c r="Y15" s="134" t="str">
        <x:f>IF(OR($A15="",Y$3=""),"",COUNTIFS(FINDINGS!$D$4:$D$203,$A15,FINDINGS!$B$4:$B$203,Y$3))</x:f>
      </x:c>
      <x:c r="Z15" s="134" t="str">
        <x:f>IF(OR($A15="",Z$3=""),"",COUNTIFS(FINDINGS!$D$4:$D$203,$A15,FINDINGS!$B$4:$B$203,Z$3))</x:f>
      </x:c>
      <x:c r="AA15" s="134" t="str">
        <x:f>IF(OR($A15="",AA$3=""),"",COUNTIFS(FINDINGS!$D$4:$D$203,$A15,FINDINGS!$B$4:$B$203,AA$3))</x:f>
      </x:c>
      <x:c r="AB15" s="134" t="str">
        <x:f>IF(OR($A15="",AB$3=""),"",COUNTIFS(FINDINGS!$D$4:$D$203,$A15,FINDINGS!$B$4:$B$203,AB$3))</x:f>
      </x:c>
      <x:c r="AC15" s="134" t="str">
        <x:f>IF(OR($A15="",AC$3=""),"",COUNTIFS(FINDINGS!$D$4:$D$203,$A15,FINDINGS!$B$4:$B$203,AC$3))</x:f>
      </x:c>
      <x:c r="AD15" s="134" t="str">
        <x:f>IF(OR($A15="",AD$3=""),"",COUNTIFS(FINDINGS!$D$4:$D$203,$A15,FINDINGS!$B$4:$B$203,AD$3))</x:f>
      </x:c>
      <x:c r="AE15" s="134" t="str">
        <x:f>IF(OR($A15="",AE$3=""),"",COUNTIFS(FINDINGS!$D$4:$D$203,$A15,FINDINGS!$B$4:$B$203,AE$3))</x:f>
      </x:c>
      <x:c r="AF15" s="134" t="str">
        <x:f>IF(OR($A15="",AF$3=""),"",COUNTIFS(FINDINGS!$D$4:$D$203,$A15,FINDINGS!$B$4:$B$203,AF$3))</x:f>
      </x:c>
      <x:c r="AG15" s="134" t="str">
        <x:f>IF(OR($A15="",AG$3=""),"",COUNTIFS(FINDINGS!$D$4:$D$203,$A15,FINDINGS!$B$4:$B$203,AG$3))</x:f>
      </x:c>
      <x:c r="AH15" s="134" t="str">
        <x:f>IF(OR($A15="",AH$3=""),"",COUNTIFS(FINDINGS!$D$4:$D$203,$A15,FINDINGS!$B$4:$B$203,AH$3))</x:f>
      </x:c>
      <x:c r="AI15" s="134" t="str">
        <x:f>IF(OR($A15="",AI$3=""),"",COUNTIFS(FINDINGS!$D$4:$D$203,$A15,FINDINGS!$B$4:$B$203,AI$3))</x:f>
      </x:c>
      <x:c r="AJ15" s="134" t="str">
        <x:f>IF(OR($A15="",AJ$3=""),"",COUNTIFS(FINDINGS!$D$4:$D$203,$A15,FINDINGS!$B$4:$B$203,AJ$3))</x:f>
      </x:c>
      <x:c r="AK15" s="134" t="str">
        <x:f>IF(OR($A15="",AK$3=""),"",COUNTIFS(FINDINGS!$D$4:$D$203,$A15,FINDINGS!$B$4:$B$203,AK$3))</x:f>
      </x:c>
      <x:c r="AL15" s="134" t="str">
        <x:f>IF(OR($A15="",AL$3=""),"",COUNTIFS(FINDINGS!$D$4:$D$203,$A15,FINDINGS!$B$4:$B$203,AL$3))</x:f>
      </x:c>
      <x:c r="AM15" s="134" t="str">
        <x:f>IF(OR($A15="",AM$3=""),"",COUNTIFS(FINDINGS!$D$4:$D$203,$A15,FINDINGS!$B$4:$B$203,AM$3))</x:f>
      </x:c>
      <x:c r="AN15" s="134" t="str">
        <x:f>IF(OR($A15="",AN$3=""),"",COUNTIFS(FINDINGS!$D$4:$D$203,$A15,FINDINGS!$B$4:$B$203,AN$3))</x:f>
      </x:c>
      <x:c r="AO15" s="134" t="str">
        <x:f>IF(OR($A15="",AO$3=""),"",COUNTIFS(FINDINGS!$D$4:$D$203,$A15,FINDINGS!$B$4:$B$203,AO$3))</x:f>
      </x:c>
      <x:c r="AP15" s="134" t="str">
        <x:f>IF(OR($A15="",AP$3=""),"",COUNTIFS(FINDINGS!$D$4:$D$203,$A15,FINDINGS!$B$4:$B$203,AP$3))</x:f>
      </x:c>
      <x:c r="AQ15" s="134" t="str">
        <x:f>IF(OR($A15="",AQ$3=""),"",COUNTIFS(FINDINGS!$D$4:$D$203,$A15,FINDINGS!$B$4:$B$203,AQ$3))</x:f>
      </x:c>
      <x:c r="AR15" s="91"/>
      <x:c r="AS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AQ1"/>
  </x:mergeCells>
  <x:conditionalFormatting sqref="M4:M15">
    <x:cfRule type="expression" dxfId="4" priority="1">
      <x:formula>$M4="ONE-SIDED"</x:formula>
    </x:cfRule>
    <x:cfRule type="expression" dxfId="5" priority="2">
      <x:formula>$M4="MIXED / QUALIFY"</x:formula>
    </x:cfRule>
  </x:conditionalFormatting>
  <x:conditionalFormatting sqref="N4:N15">
    <x:cfRule type="expression" dxfId="6" priority="3">
      <x:formula>$N4="BUILD COVERAGE"</x:formula>
    </x:cfRule>
    <x:cfRule type="expression" dxfId="7" priority="4">
      <x:formula>$N4="READY TO SYNTHESIZE"</x:formula>
    </x:cfRule>
  </x:conditionalFormatting>
  <x:conditionalFormatting sqref="O4:AQ15">
    <x:cfRule type="colorScale" priority="5">
      <x:colorScale>
        <x:cfvo type="min"/>
        <x:cfvo type="percentile" val="50"/>
        <x:cfvo type="max"/>
        <x:color rgb="FFFFFFFF"/>
        <x:color rgb="FFEAF3FA"/>
        <x:color rgb="FF7FB3D5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13" hidden="0" customWidth="1"/>
    <x:col min="5" max="5" width="10" hidden="0" customWidth="1"/>
    <x:col min="6" max="6" width="11" hidden="0" customWidth="1"/>
    <x:col min="7" max="7" width="12" hidden="0" customWidth="1"/>
    <x:col min="8" max="8" width="12" hidden="0" customWidth="1"/>
    <x:col min="9" max="9" width="10" hidden="0" customWidth="1"/>
    <x:col min="10" max="10" width="15" hidden="0" customWidth="1"/>
    <x:col min="11" max="11" width="18" hidden="0" customWidth="1"/>
    <x:col min="12" max="12" width="18" hidden="0" customWidth="1"/>
    <x:col min="13" max="13" width="44" hidden="0" customWidth="1"/>
    <x:col min="14" max="14" width="28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</x:cols>
  <x:sheetData>
    <x:row r="1">
      <x:c r="A1" s="149" t="str">
        <x:v>CLAIM MAP — test prospective claims against the evidence before writing them as conclusions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  <x:c r="V1" s="149"/>
      <x:c r="W1" s="149"/>
      <x:c r="X1" s="149"/>
      <x:c r="Y1" s="149"/>
      <x:c r="Z1" s="149"/>
      <x:c r="AA1" s="149"/>
      <x:c r="AB1" s="149"/>
      <x:c r="AC1" s="149"/>
      <x:c r="AD1" s="149"/>
      <x:c r="AE1" s="149"/>
      <x:c r="AF1" s="149"/>
      <x:c r="AG1" s="149"/>
      <x:c r="AH1" s="149"/>
      <x:c r="AI1" s="149"/>
      <x:c r="AJ1" s="149"/>
      <x:c r="AK1" s="149"/>
      <x:c r="AL1" s="149"/>
      <x:c r="AM1" s="149"/>
      <x:c r="AN1" s="149"/>
      <x:c r="AO1" s="149"/>
      <x:c r="AP1" s="149"/>
      <x:c r="AQ1" s="149"/>
      <x:c r="AR1" s="149"/>
      <x:c r="AS1" s="149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Claim ID</x:v>
      </x:c>
      <x:c r="B3" s="125" t="str">
        <x:v>Claim / Proposition</x:v>
      </x:c>
      <x:c r="C3" s="125" t="str">
        <x:v>Theme ID</x:v>
      </x:c>
      <x:c r="D3" s="125" t="str">
        <x:v>Evidence Items</x:v>
      </x:c>
      <x:c r="E3" s="125" t="str">
        <x:v>Sources</x:v>
      </x:c>
      <x:c r="F3" s="125" t="str">
        <x:v>Supports</x:v>
      </x:c>
      <x:c r="G3" s="125" t="str">
        <x:v>Contradicts</x:v>
      </x:c>
      <x:c r="H3" s="125" t="str">
        <x:v>Complicates</x:v>
      </x:c>
      <x:c r="I3" s="125" t="str">
        <x:v>Context</x:v>
      </x:c>
      <x:c r="J3" s="125" t="str">
        <x:v>Counterevidence?</x:v>
      </x:c>
      <x:c r="K3" s="125" t="str">
        <x:v>Readiness</x:v>
      </x:c>
      <x:c r="L3" s="125" t="str">
        <x:v>Qualification Needed</x:v>
      </x:c>
      <x:c r="M3" s="125" t="str">
        <x:v>Draft Synthesis Sentence</x:v>
      </x:c>
      <x:c r="N3" s="125" t="str">
        <x:v>Notes</x:v>
      </x:c>
      <x:c r="O3" s="134"/>
      <x:c r="P3" s="133" t="n">
        <x:f>SOURCES!A4</x:f>
        <x:v>0</x:v>
      </x:c>
      <x:c r="Q3" s="133" t="n">
        <x:f>SOURCES!A5</x:f>
        <x:v>0</x:v>
      </x:c>
      <x:c r="R3" s="133" t="n">
        <x:f>SOURCES!A6</x:f>
        <x:v>0</x:v>
      </x:c>
      <x:c r="S3" s="133" t="n">
        <x:f>SOURCES!A7</x:f>
        <x:v>0</x:v>
      </x:c>
      <x:c r="T3" s="133" t="n">
        <x:f>SOURCES!A8</x:f>
        <x:v>0</x:v>
      </x:c>
      <x:c r="U3" s="133" t="n">
        <x:f>SOURCES!A9</x:f>
        <x:v>0</x:v>
      </x:c>
      <x:c r="V3" s="133" t="n">
        <x:f>SOURCES!A10</x:f>
        <x:v>0</x:v>
      </x:c>
      <x:c r="W3" s="133" t="n">
        <x:f>SOURCES!A11</x:f>
        <x:v>0</x:v>
      </x:c>
      <x:c r="X3" s="133" t="n">
        <x:f>SOURCES!A12</x:f>
        <x:v>0</x:v>
      </x:c>
      <x:c r="Y3" s="133" t="n">
        <x:f>SOURCES!A13</x:f>
        <x:v>0</x:v>
      </x:c>
      <x:c r="Z3" s="133" t="n">
        <x:f>SOURCES!A14</x:f>
        <x:v>0</x:v>
      </x:c>
      <x:c r="AA3" s="133" t="n">
        <x:f>SOURCES!A15</x:f>
        <x:v>0</x:v>
      </x:c>
      <x:c r="AB3" s="133" t="n">
        <x:f>SOURCES!A16</x:f>
        <x:v>0</x:v>
      </x:c>
      <x:c r="AC3" s="133" t="n">
        <x:f>SOURCES!A17</x:f>
        <x:v>0</x:v>
      </x:c>
      <x:c r="AD3" s="133" t="n">
        <x:f>SOURCES!A18</x:f>
        <x:v>0</x:v>
      </x:c>
      <x:c r="AE3" s="133" t="n">
        <x:f>SOURCES!A19</x:f>
        <x:v>0</x:v>
      </x:c>
      <x:c r="AF3" s="133" t="n">
        <x:f>SOURCES!A20</x:f>
        <x:v>0</x:v>
      </x:c>
      <x:c r="AG3" s="133" t="n">
        <x:f>SOURCES!A21</x:f>
        <x:v>0</x:v>
      </x:c>
      <x:c r="AH3" s="133" t="n">
        <x:f>SOURCES!A22</x:f>
        <x:v>0</x:v>
      </x:c>
      <x:c r="AI3" s="133" t="n">
        <x:f>SOURCES!A23</x:f>
        <x:v>0</x:v>
      </x:c>
      <x:c r="AJ3" s="133" t="n">
        <x:f>SOURCES!A24</x:f>
        <x:v>0</x:v>
      </x:c>
      <x:c r="AK3" s="133" t="n">
        <x:f>SOURCES!A25</x:f>
        <x:v>0</x:v>
      </x:c>
      <x:c r="AL3" s="133" t="n">
        <x:f>SOURCES!A26</x:f>
        <x:v>0</x:v>
      </x:c>
      <x:c r="AM3" s="133" t="n">
        <x:f>SOURCES!A27</x:f>
        <x:v>0</x:v>
      </x:c>
      <x:c r="AN3" s="133" t="n">
        <x:f>SOURCES!A28</x:f>
        <x:v>0</x:v>
      </x:c>
      <x:c r="AO3" s="133" t="n">
        <x:f>SOURCES!A29</x:f>
        <x:v>0</x:v>
      </x:c>
      <x:c r="AP3" s="133" t="n">
        <x:f>SOURCES!A30</x:f>
        <x:v>0</x:v>
      </x:c>
      <x:c r="AQ3" s="133" t="n">
        <x:f>SOURCES!A31</x:f>
        <x:v>0</x:v>
      </x:c>
      <x:c r="AR3" s="133" t="n">
        <x:f>SOURCES!A32</x:f>
        <x:v>0</x:v>
      </x:c>
      <x:c r="AS3" s="133" t="n">
        <x:f>SOURCES!A33</x:f>
        <x:v>0</x:v>
      </x:c>
    </x:row>
    <x:row r="4">
      <x:c r="A4" s="126" t="str">
        <x:f>IF(B4="","","C"&amp;TEXT(ROW()-3,"00"))</x:f>
      </x:c>
      <x:c r="B4" s="119"/>
      <x:c r="C4" s="119"/>
      <x:c r="D4" s="126" t="str">
        <x:f>IF(A4="","",COUNTIF(FINDINGS!$F$4:$F$203,A4))</x:f>
      </x:c>
      <x:c r="E4" s="126" t="str">
        <x:f>IF(A4="","",COUNTIF(P4:AS4,"&gt;0"))</x:f>
      </x:c>
      <x:c r="F4" s="126" t="str">
        <x:f>IF(A4="","",COUNTIFS(FINDINGS!$F$4:$F$203,A4,FINDINGS!$J$4:$J$203,"Supports"))</x:f>
      </x:c>
      <x:c r="G4" s="126" t="str">
        <x:f>IF(A4="","",COUNTIFS(FINDINGS!$F$4:$F$203,A4,FINDINGS!$J$4:$J$203,"Contradicts"))</x:f>
      </x:c>
      <x:c r="H4" s="126" t="str">
        <x:f>IF(A4="","",COUNTIFS(FINDINGS!$F$4:$F$203,A4,FINDINGS!$J$4:$J$203,"Complicates"))</x:f>
      </x:c>
      <x:c r="I4" s="126" t="str">
        <x:f>IF(A4="","",COUNTIFS(FINDINGS!$F$4:$F$203,A4,FINDINGS!$J$4:$J$203,"Context"))</x:f>
      </x:c>
      <x:c r="J4" s="126" t="str">
        <x:f>IF(A4="","",IF(OR(G4&gt;0,H4&gt;0),"Yes","No"))</x:f>
      </x:c>
      <x:c r="K4" s="126" t="str">
        <x:f>IF(A4="","",IF(E4=0,"NO EVIDENCE",IF(E4&lt;2,"THIN",IF(AND(F4&gt;0,G4=0,H4=0),"CHECK BALANCE","SYNTHESIS-READY"))))</x:f>
      </x:c>
      <x:c r="L4" s="126" t="str">
        <x:f>IF(A4="","",IF(OR(G4&gt;0,H4&gt;0),"Yes",IF(E4&lt;2,"Yes","Review")))</x:f>
      </x:c>
      <x:c r="M4" s="119"/>
      <x:c r="N4" s="119"/>
      <x:c r="O4" s="134"/>
      <x:c r="P4" s="134" t="str">
        <x:f>IF(OR($A4="",P$3=""),"",COUNTIFS(FINDINGS!$F$4:$F$203,$A4,FINDINGS!$B$4:$B$203,P$3))</x:f>
      </x:c>
      <x:c r="Q4" s="134" t="str">
        <x:f>IF(OR($A4="",Q$3=""),"",COUNTIFS(FINDINGS!$F$4:$F$203,$A4,FINDINGS!$B$4:$B$203,Q$3))</x:f>
      </x:c>
      <x:c r="R4" s="134" t="str">
        <x:f>IF(OR($A4="",R$3=""),"",COUNTIFS(FINDINGS!$F$4:$F$203,$A4,FINDINGS!$B$4:$B$203,R$3))</x:f>
      </x:c>
      <x:c r="S4" s="134" t="str">
        <x:f>IF(OR($A4="",S$3=""),"",COUNTIFS(FINDINGS!$F$4:$F$203,$A4,FINDINGS!$B$4:$B$203,S$3))</x:f>
      </x:c>
      <x:c r="T4" s="134" t="str">
        <x:f>IF(OR($A4="",T$3=""),"",COUNTIFS(FINDINGS!$F$4:$F$203,$A4,FINDINGS!$B$4:$B$203,T$3))</x:f>
      </x:c>
      <x:c r="U4" s="134" t="str">
        <x:f>IF(OR($A4="",U$3=""),"",COUNTIFS(FINDINGS!$F$4:$F$203,$A4,FINDINGS!$B$4:$B$203,U$3))</x:f>
      </x:c>
      <x:c r="V4" s="134" t="str">
        <x:f>IF(OR($A4="",V$3=""),"",COUNTIFS(FINDINGS!$F$4:$F$203,$A4,FINDINGS!$B$4:$B$203,V$3))</x:f>
      </x:c>
      <x:c r="W4" s="134" t="str">
        <x:f>IF(OR($A4="",W$3=""),"",COUNTIFS(FINDINGS!$F$4:$F$203,$A4,FINDINGS!$B$4:$B$203,W$3))</x:f>
      </x:c>
      <x:c r="X4" s="134" t="str">
        <x:f>IF(OR($A4="",X$3=""),"",COUNTIFS(FINDINGS!$F$4:$F$203,$A4,FINDINGS!$B$4:$B$203,X$3))</x:f>
      </x:c>
      <x:c r="Y4" s="134" t="str">
        <x:f>IF(OR($A4="",Y$3=""),"",COUNTIFS(FINDINGS!$F$4:$F$203,$A4,FINDINGS!$B$4:$B$203,Y$3))</x:f>
      </x:c>
      <x:c r="Z4" s="134" t="str">
        <x:f>IF(OR($A4="",Z$3=""),"",COUNTIFS(FINDINGS!$F$4:$F$203,$A4,FINDINGS!$B$4:$B$203,Z$3))</x:f>
      </x:c>
      <x:c r="AA4" s="134" t="str">
        <x:f>IF(OR($A4="",AA$3=""),"",COUNTIFS(FINDINGS!$F$4:$F$203,$A4,FINDINGS!$B$4:$B$203,AA$3))</x:f>
      </x:c>
      <x:c r="AB4" s="134" t="str">
        <x:f>IF(OR($A4="",AB$3=""),"",COUNTIFS(FINDINGS!$F$4:$F$203,$A4,FINDINGS!$B$4:$B$203,AB$3))</x:f>
      </x:c>
      <x:c r="AC4" s="134" t="str">
        <x:f>IF(OR($A4="",AC$3=""),"",COUNTIFS(FINDINGS!$F$4:$F$203,$A4,FINDINGS!$B$4:$B$203,AC$3))</x:f>
      </x:c>
      <x:c r="AD4" s="134" t="str">
        <x:f>IF(OR($A4="",AD$3=""),"",COUNTIFS(FINDINGS!$F$4:$F$203,$A4,FINDINGS!$B$4:$B$203,AD$3))</x:f>
      </x:c>
      <x:c r="AE4" s="134" t="str">
        <x:f>IF(OR($A4="",AE$3=""),"",COUNTIFS(FINDINGS!$F$4:$F$203,$A4,FINDINGS!$B$4:$B$203,AE$3))</x:f>
      </x:c>
      <x:c r="AF4" s="134" t="str">
        <x:f>IF(OR($A4="",AF$3=""),"",COUNTIFS(FINDINGS!$F$4:$F$203,$A4,FINDINGS!$B$4:$B$203,AF$3))</x:f>
      </x:c>
      <x:c r="AG4" s="134" t="str">
        <x:f>IF(OR($A4="",AG$3=""),"",COUNTIFS(FINDINGS!$F$4:$F$203,$A4,FINDINGS!$B$4:$B$203,AG$3))</x:f>
      </x:c>
      <x:c r="AH4" s="134" t="str">
        <x:f>IF(OR($A4="",AH$3=""),"",COUNTIFS(FINDINGS!$F$4:$F$203,$A4,FINDINGS!$B$4:$B$203,AH$3))</x:f>
      </x:c>
      <x:c r="AI4" s="134" t="str">
        <x:f>IF(OR($A4="",AI$3=""),"",COUNTIFS(FINDINGS!$F$4:$F$203,$A4,FINDINGS!$B$4:$B$203,AI$3))</x:f>
      </x:c>
      <x:c r="AJ4" s="134" t="str">
        <x:f>IF(OR($A4="",AJ$3=""),"",COUNTIFS(FINDINGS!$F$4:$F$203,$A4,FINDINGS!$B$4:$B$203,AJ$3))</x:f>
      </x:c>
      <x:c r="AK4" s="134" t="str">
        <x:f>IF(OR($A4="",AK$3=""),"",COUNTIFS(FINDINGS!$F$4:$F$203,$A4,FINDINGS!$B$4:$B$203,AK$3))</x:f>
      </x:c>
      <x:c r="AL4" s="134" t="str">
        <x:f>IF(OR($A4="",AL$3=""),"",COUNTIFS(FINDINGS!$F$4:$F$203,$A4,FINDINGS!$B$4:$B$203,AL$3))</x:f>
      </x:c>
      <x:c r="AM4" s="134" t="str">
        <x:f>IF(OR($A4="",AM$3=""),"",COUNTIFS(FINDINGS!$F$4:$F$203,$A4,FINDINGS!$B$4:$B$203,AM$3))</x:f>
      </x:c>
      <x:c r="AN4" s="134" t="str">
        <x:f>IF(OR($A4="",AN$3=""),"",COUNTIFS(FINDINGS!$F$4:$F$203,$A4,FINDINGS!$B$4:$B$203,AN$3))</x:f>
      </x:c>
      <x:c r="AO4" s="134" t="str">
        <x:f>IF(OR($A4="",AO$3=""),"",COUNTIFS(FINDINGS!$F$4:$F$203,$A4,FINDINGS!$B$4:$B$203,AO$3))</x:f>
      </x:c>
      <x:c r="AP4" s="134" t="str">
        <x:f>IF(OR($A4="",AP$3=""),"",COUNTIFS(FINDINGS!$F$4:$F$203,$A4,FINDINGS!$B$4:$B$203,AP$3))</x:f>
      </x:c>
      <x:c r="AQ4" s="134" t="str">
        <x:f>IF(OR($A4="",AQ$3=""),"",COUNTIFS(FINDINGS!$F$4:$F$203,$A4,FINDINGS!$B$4:$B$203,AQ$3))</x:f>
      </x:c>
      <x:c r="AR4" s="134" t="str">
        <x:f>IF(OR($A4="",AR$3=""),"",COUNTIFS(FINDINGS!$F$4:$F$203,$A4,FINDINGS!$B$4:$B$203,AR$3))</x:f>
      </x:c>
      <x:c r="AS4" s="134" t="str">
        <x:f>IF(OR($A4="",AS$3=""),"",COUNTIFS(FINDINGS!$F$4:$F$203,$A4,FINDINGS!$B$4:$B$203,AS$3))</x:f>
      </x:c>
    </x:row>
    <x:row r="5">
      <x:c r="A5" s="126" t="str">
        <x:f>IF(B5="","","C"&amp;TEXT(ROW()-3,"00"))</x:f>
      </x:c>
      <x:c r="B5" s="119"/>
      <x:c r="C5" s="119"/>
      <x:c r="D5" s="126" t="str">
        <x:f>IF(A5="","",COUNTIF(FINDINGS!$F$4:$F$203,A5))</x:f>
      </x:c>
      <x:c r="E5" s="126" t="str">
        <x:f>IF(A5="","",COUNTIF(P5:AS5,"&gt;0"))</x:f>
      </x:c>
      <x:c r="F5" s="126" t="str">
        <x:f>IF(A5="","",COUNTIFS(FINDINGS!$F$4:$F$203,A5,FINDINGS!$J$4:$J$203,"Supports"))</x:f>
      </x:c>
      <x:c r="G5" s="126" t="str">
        <x:f>IF(A5="","",COUNTIFS(FINDINGS!$F$4:$F$203,A5,FINDINGS!$J$4:$J$203,"Contradicts"))</x:f>
      </x:c>
      <x:c r="H5" s="126" t="str">
        <x:f>IF(A5="","",COUNTIFS(FINDINGS!$F$4:$F$203,A5,FINDINGS!$J$4:$J$203,"Complicates"))</x:f>
      </x:c>
      <x:c r="I5" s="126" t="str">
        <x:f>IF(A5="","",COUNTIFS(FINDINGS!$F$4:$F$203,A5,FINDINGS!$J$4:$J$203,"Context"))</x:f>
      </x:c>
      <x:c r="J5" s="126" t="str">
        <x:f>IF(A5="","",IF(OR(G5&gt;0,H5&gt;0),"Yes","No"))</x:f>
      </x:c>
      <x:c r="K5" s="126" t="str">
        <x:f>IF(A5="","",IF(E5=0,"NO EVIDENCE",IF(E5&lt;2,"THIN",IF(AND(F5&gt;0,G5=0,H5=0),"CHECK BALANCE","SYNTHESIS-READY"))))</x:f>
      </x:c>
      <x:c r="L5" s="126" t="str">
        <x:f>IF(A5="","",IF(OR(G5&gt;0,H5&gt;0),"Yes",IF(E5&lt;2,"Yes","Review")))</x:f>
      </x:c>
      <x:c r="M5" s="119"/>
      <x:c r="N5" s="119"/>
      <x:c r="O5" s="134"/>
      <x:c r="P5" s="134" t="str">
        <x:f>IF(OR($A5="",P$3=""),"",COUNTIFS(FINDINGS!$F$4:$F$203,$A5,FINDINGS!$B$4:$B$203,P$3))</x:f>
      </x:c>
      <x:c r="Q5" s="134" t="str">
        <x:f>IF(OR($A5="",Q$3=""),"",COUNTIFS(FINDINGS!$F$4:$F$203,$A5,FINDINGS!$B$4:$B$203,Q$3))</x:f>
      </x:c>
      <x:c r="R5" s="134" t="str">
        <x:f>IF(OR($A5="",R$3=""),"",COUNTIFS(FINDINGS!$F$4:$F$203,$A5,FINDINGS!$B$4:$B$203,R$3))</x:f>
      </x:c>
      <x:c r="S5" s="134" t="str">
        <x:f>IF(OR($A5="",S$3=""),"",COUNTIFS(FINDINGS!$F$4:$F$203,$A5,FINDINGS!$B$4:$B$203,S$3))</x:f>
      </x:c>
      <x:c r="T5" s="134" t="str">
        <x:f>IF(OR($A5="",T$3=""),"",COUNTIFS(FINDINGS!$F$4:$F$203,$A5,FINDINGS!$B$4:$B$203,T$3))</x:f>
      </x:c>
      <x:c r="U5" s="134" t="str">
        <x:f>IF(OR($A5="",U$3=""),"",COUNTIFS(FINDINGS!$F$4:$F$203,$A5,FINDINGS!$B$4:$B$203,U$3))</x:f>
      </x:c>
      <x:c r="V5" s="134" t="str">
        <x:f>IF(OR($A5="",V$3=""),"",COUNTIFS(FINDINGS!$F$4:$F$203,$A5,FINDINGS!$B$4:$B$203,V$3))</x:f>
      </x:c>
      <x:c r="W5" s="134" t="str">
        <x:f>IF(OR($A5="",W$3=""),"",COUNTIFS(FINDINGS!$F$4:$F$203,$A5,FINDINGS!$B$4:$B$203,W$3))</x:f>
      </x:c>
      <x:c r="X5" s="134" t="str">
        <x:f>IF(OR($A5="",X$3=""),"",COUNTIFS(FINDINGS!$F$4:$F$203,$A5,FINDINGS!$B$4:$B$203,X$3))</x:f>
      </x:c>
      <x:c r="Y5" s="134" t="str">
        <x:f>IF(OR($A5="",Y$3=""),"",COUNTIFS(FINDINGS!$F$4:$F$203,$A5,FINDINGS!$B$4:$B$203,Y$3))</x:f>
      </x:c>
      <x:c r="Z5" s="134" t="str">
        <x:f>IF(OR($A5="",Z$3=""),"",COUNTIFS(FINDINGS!$F$4:$F$203,$A5,FINDINGS!$B$4:$B$203,Z$3))</x:f>
      </x:c>
      <x:c r="AA5" s="134" t="str">
        <x:f>IF(OR($A5="",AA$3=""),"",COUNTIFS(FINDINGS!$F$4:$F$203,$A5,FINDINGS!$B$4:$B$203,AA$3))</x:f>
      </x:c>
      <x:c r="AB5" s="134" t="str">
        <x:f>IF(OR($A5="",AB$3=""),"",COUNTIFS(FINDINGS!$F$4:$F$203,$A5,FINDINGS!$B$4:$B$203,AB$3))</x:f>
      </x:c>
      <x:c r="AC5" s="134" t="str">
        <x:f>IF(OR($A5="",AC$3=""),"",COUNTIFS(FINDINGS!$F$4:$F$203,$A5,FINDINGS!$B$4:$B$203,AC$3))</x:f>
      </x:c>
      <x:c r="AD5" s="134" t="str">
        <x:f>IF(OR($A5="",AD$3=""),"",COUNTIFS(FINDINGS!$F$4:$F$203,$A5,FINDINGS!$B$4:$B$203,AD$3))</x:f>
      </x:c>
      <x:c r="AE5" s="134" t="str">
        <x:f>IF(OR($A5="",AE$3=""),"",COUNTIFS(FINDINGS!$F$4:$F$203,$A5,FINDINGS!$B$4:$B$203,AE$3))</x:f>
      </x:c>
      <x:c r="AF5" s="134" t="str">
        <x:f>IF(OR($A5="",AF$3=""),"",COUNTIFS(FINDINGS!$F$4:$F$203,$A5,FINDINGS!$B$4:$B$203,AF$3))</x:f>
      </x:c>
      <x:c r="AG5" s="134" t="str">
        <x:f>IF(OR($A5="",AG$3=""),"",COUNTIFS(FINDINGS!$F$4:$F$203,$A5,FINDINGS!$B$4:$B$203,AG$3))</x:f>
      </x:c>
      <x:c r="AH5" s="134" t="str">
        <x:f>IF(OR($A5="",AH$3=""),"",COUNTIFS(FINDINGS!$F$4:$F$203,$A5,FINDINGS!$B$4:$B$203,AH$3))</x:f>
      </x:c>
      <x:c r="AI5" s="134" t="str">
        <x:f>IF(OR($A5="",AI$3=""),"",COUNTIFS(FINDINGS!$F$4:$F$203,$A5,FINDINGS!$B$4:$B$203,AI$3))</x:f>
      </x:c>
      <x:c r="AJ5" s="134" t="str">
        <x:f>IF(OR($A5="",AJ$3=""),"",COUNTIFS(FINDINGS!$F$4:$F$203,$A5,FINDINGS!$B$4:$B$203,AJ$3))</x:f>
      </x:c>
      <x:c r="AK5" s="134" t="str">
        <x:f>IF(OR($A5="",AK$3=""),"",COUNTIFS(FINDINGS!$F$4:$F$203,$A5,FINDINGS!$B$4:$B$203,AK$3))</x:f>
      </x:c>
      <x:c r="AL5" s="134" t="str">
        <x:f>IF(OR($A5="",AL$3=""),"",COUNTIFS(FINDINGS!$F$4:$F$203,$A5,FINDINGS!$B$4:$B$203,AL$3))</x:f>
      </x:c>
      <x:c r="AM5" s="134" t="str">
        <x:f>IF(OR($A5="",AM$3=""),"",COUNTIFS(FINDINGS!$F$4:$F$203,$A5,FINDINGS!$B$4:$B$203,AM$3))</x:f>
      </x:c>
      <x:c r="AN5" s="134" t="str">
        <x:f>IF(OR($A5="",AN$3=""),"",COUNTIFS(FINDINGS!$F$4:$F$203,$A5,FINDINGS!$B$4:$B$203,AN$3))</x:f>
      </x:c>
      <x:c r="AO5" s="134" t="str">
        <x:f>IF(OR($A5="",AO$3=""),"",COUNTIFS(FINDINGS!$F$4:$F$203,$A5,FINDINGS!$B$4:$B$203,AO$3))</x:f>
      </x:c>
      <x:c r="AP5" s="134" t="str">
        <x:f>IF(OR($A5="",AP$3=""),"",COUNTIFS(FINDINGS!$F$4:$F$203,$A5,FINDINGS!$B$4:$B$203,AP$3))</x:f>
      </x:c>
      <x:c r="AQ5" s="134" t="str">
        <x:f>IF(OR($A5="",AQ$3=""),"",COUNTIFS(FINDINGS!$F$4:$F$203,$A5,FINDINGS!$B$4:$B$203,AQ$3))</x:f>
      </x:c>
      <x:c r="AR5" s="134" t="str">
        <x:f>IF(OR($A5="",AR$3=""),"",COUNTIFS(FINDINGS!$F$4:$F$203,$A5,FINDINGS!$B$4:$B$203,AR$3))</x:f>
      </x:c>
      <x:c r="AS5" s="134" t="str">
        <x:f>IF(OR($A5="",AS$3=""),"",COUNTIFS(FINDINGS!$F$4:$F$203,$A5,FINDINGS!$B$4:$B$203,AS$3))</x:f>
      </x:c>
    </x:row>
    <x:row r="6">
      <x:c r="A6" s="126" t="str">
        <x:f>IF(B6="","","C"&amp;TEXT(ROW()-3,"00"))</x:f>
      </x:c>
      <x:c r="B6" s="119"/>
      <x:c r="C6" s="119"/>
      <x:c r="D6" s="126" t="str">
        <x:f>IF(A6="","",COUNTIF(FINDINGS!$F$4:$F$203,A6))</x:f>
      </x:c>
      <x:c r="E6" s="126" t="str">
        <x:f>IF(A6="","",COUNTIF(P6:AS6,"&gt;0"))</x:f>
      </x:c>
      <x:c r="F6" s="126" t="str">
        <x:f>IF(A6="","",COUNTIFS(FINDINGS!$F$4:$F$203,A6,FINDINGS!$J$4:$J$203,"Supports"))</x:f>
      </x:c>
      <x:c r="G6" s="126" t="str">
        <x:f>IF(A6="","",COUNTIFS(FINDINGS!$F$4:$F$203,A6,FINDINGS!$J$4:$J$203,"Contradicts"))</x:f>
      </x:c>
      <x:c r="H6" s="126" t="str">
        <x:f>IF(A6="","",COUNTIFS(FINDINGS!$F$4:$F$203,A6,FINDINGS!$J$4:$J$203,"Complicates"))</x:f>
      </x:c>
      <x:c r="I6" s="126" t="str">
        <x:f>IF(A6="","",COUNTIFS(FINDINGS!$F$4:$F$203,A6,FINDINGS!$J$4:$J$203,"Context"))</x:f>
      </x:c>
      <x:c r="J6" s="126" t="str">
        <x:f>IF(A6="","",IF(OR(G6&gt;0,H6&gt;0),"Yes","No"))</x:f>
      </x:c>
      <x:c r="K6" s="126" t="str">
        <x:f>IF(A6="","",IF(E6=0,"NO EVIDENCE",IF(E6&lt;2,"THIN",IF(AND(F6&gt;0,G6=0,H6=0),"CHECK BALANCE","SYNTHESIS-READY"))))</x:f>
      </x:c>
      <x:c r="L6" s="126" t="str">
        <x:f>IF(A6="","",IF(OR(G6&gt;0,H6&gt;0),"Yes",IF(E6&lt;2,"Yes","Review")))</x:f>
      </x:c>
      <x:c r="M6" s="119"/>
      <x:c r="N6" s="119"/>
      <x:c r="O6" s="134"/>
      <x:c r="P6" s="134" t="str">
        <x:f>IF(OR($A6="",P$3=""),"",COUNTIFS(FINDINGS!$F$4:$F$203,$A6,FINDINGS!$B$4:$B$203,P$3))</x:f>
      </x:c>
      <x:c r="Q6" s="134" t="str">
        <x:f>IF(OR($A6="",Q$3=""),"",COUNTIFS(FINDINGS!$F$4:$F$203,$A6,FINDINGS!$B$4:$B$203,Q$3))</x:f>
      </x:c>
      <x:c r="R6" s="134" t="str">
        <x:f>IF(OR($A6="",R$3=""),"",COUNTIFS(FINDINGS!$F$4:$F$203,$A6,FINDINGS!$B$4:$B$203,R$3))</x:f>
      </x:c>
      <x:c r="S6" s="134" t="str">
        <x:f>IF(OR($A6="",S$3=""),"",COUNTIFS(FINDINGS!$F$4:$F$203,$A6,FINDINGS!$B$4:$B$203,S$3))</x:f>
      </x:c>
      <x:c r="T6" s="134" t="str">
        <x:f>IF(OR($A6="",T$3=""),"",COUNTIFS(FINDINGS!$F$4:$F$203,$A6,FINDINGS!$B$4:$B$203,T$3))</x:f>
      </x:c>
      <x:c r="U6" s="134" t="str">
        <x:f>IF(OR($A6="",U$3=""),"",COUNTIFS(FINDINGS!$F$4:$F$203,$A6,FINDINGS!$B$4:$B$203,U$3))</x:f>
      </x:c>
      <x:c r="V6" s="134" t="str">
        <x:f>IF(OR($A6="",V$3=""),"",COUNTIFS(FINDINGS!$F$4:$F$203,$A6,FINDINGS!$B$4:$B$203,V$3))</x:f>
      </x:c>
      <x:c r="W6" s="134" t="str">
        <x:f>IF(OR($A6="",W$3=""),"",COUNTIFS(FINDINGS!$F$4:$F$203,$A6,FINDINGS!$B$4:$B$203,W$3))</x:f>
      </x:c>
      <x:c r="X6" s="134" t="str">
        <x:f>IF(OR($A6="",X$3=""),"",COUNTIFS(FINDINGS!$F$4:$F$203,$A6,FINDINGS!$B$4:$B$203,X$3))</x:f>
      </x:c>
      <x:c r="Y6" s="134" t="str">
        <x:f>IF(OR($A6="",Y$3=""),"",COUNTIFS(FINDINGS!$F$4:$F$203,$A6,FINDINGS!$B$4:$B$203,Y$3))</x:f>
      </x:c>
      <x:c r="Z6" s="134" t="str">
        <x:f>IF(OR($A6="",Z$3=""),"",COUNTIFS(FINDINGS!$F$4:$F$203,$A6,FINDINGS!$B$4:$B$203,Z$3))</x:f>
      </x:c>
      <x:c r="AA6" s="134" t="str">
        <x:f>IF(OR($A6="",AA$3=""),"",COUNTIFS(FINDINGS!$F$4:$F$203,$A6,FINDINGS!$B$4:$B$203,AA$3))</x:f>
      </x:c>
      <x:c r="AB6" s="134" t="str">
        <x:f>IF(OR($A6="",AB$3=""),"",COUNTIFS(FINDINGS!$F$4:$F$203,$A6,FINDINGS!$B$4:$B$203,AB$3))</x:f>
      </x:c>
      <x:c r="AC6" s="134" t="str">
        <x:f>IF(OR($A6="",AC$3=""),"",COUNTIFS(FINDINGS!$F$4:$F$203,$A6,FINDINGS!$B$4:$B$203,AC$3))</x:f>
      </x:c>
      <x:c r="AD6" s="134" t="str">
        <x:f>IF(OR($A6="",AD$3=""),"",COUNTIFS(FINDINGS!$F$4:$F$203,$A6,FINDINGS!$B$4:$B$203,AD$3))</x:f>
      </x:c>
      <x:c r="AE6" s="134" t="str">
        <x:f>IF(OR($A6="",AE$3=""),"",COUNTIFS(FINDINGS!$F$4:$F$203,$A6,FINDINGS!$B$4:$B$203,AE$3))</x:f>
      </x:c>
      <x:c r="AF6" s="134" t="str">
        <x:f>IF(OR($A6="",AF$3=""),"",COUNTIFS(FINDINGS!$F$4:$F$203,$A6,FINDINGS!$B$4:$B$203,AF$3))</x:f>
      </x:c>
      <x:c r="AG6" s="134" t="str">
        <x:f>IF(OR($A6="",AG$3=""),"",COUNTIFS(FINDINGS!$F$4:$F$203,$A6,FINDINGS!$B$4:$B$203,AG$3))</x:f>
      </x:c>
      <x:c r="AH6" s="134" t="str">
        <x:f>IF(OR($A6="",AH$3=""),"",COUNTIFS(FINDINGS!$F$4:$F$203,$A6,FINDINGS!$B$4:$B$203,AH$3))</x:f>
      </x:c>
      <x:c r="AI6" s="134" t="str">
        <x:f>IF(OR($A6="",AI$3=""),"",COUNTIFS(FINDINGS!$F$4:$F$203,$A6,FINDINGS!$B$4:$B$203,AI$3))</x:f>
      </x:c>
      <x:c r="AJ6" s="134" t="str">
        <x:f>IF(OR($A6="",AJ$3=""),"",COUNTIFS(FINDINGS!$F$4:$F$203,$A6,FINDINGS!$B$4:$B$203,AJ$3))</x:f>
      </x:c>
      <x:c r="AK6" s="134" t="str">
        <x:f>IF(OR($A6="",AK$3=""),"",COUNTIFS(FINDINGS!$F$4:$F$203,$A6,FINDINGS!$B$4:$B$203,AK$3))</x:f>
      </x:c>
      <x:c r="AL6" s="134" t="str">
        <x:f>IF(OR($A6="",AL$3=""),"",COUNTIFS(FINDINGS!$F$4:$F$203,$A6,FINDINGS!$B$4:$B$203,AL$3))</x:f>
      </x:c>
      <x:c r="AM6" s="134" t="str">
        <x:f>IF(OR($A6="",AM$3=""),"",COUNTIFS(FINDINGS!$F$4:$F$203,$A6,FINDINGS!$B$4:$B$203,AM$3))</x:f>
      </x:c>
      <x:c r="AN6" s="134" t="str">
        <x:f>IF(OR($A6="",AN$3=""),"",COUNTIFS(FINDINGS!$F$4:$F$203,$A6,FINDINGS!$B$4:$B$203,AN$3))</x:f>
      </x:c>
      <x:c r="AO6" s="134" t="str">
        <x:f>IF(OR($A6="",AO$3=""),"",COUNTIFS(FINDINGS!$F$4:$F$203,$A6,FINDINGS!$B$4:$B$203,AO$3))</x:f>
      </x:c>
      <x:c r="AP6" s="134" t="str">
        <x:f>IF(OR($A6="",AP$3=""),"",COUNTIFS(FINDINGS!$F$4:$F$203,$A6,FINDINGS!$B$4:$B$203,AP$3))</x:f>
      </x:c>
      <x:c r="AQ6" s="134" t="str">
        <x:f>IF(OR($A6="",AQ$3=""),"",COUNTIFS(FINDINGS!$F$4:$F$203,$A6,FINDINGS!$B$4:$B$203,AQ$3))</x:f>
      </x:c>
      <x:c r="AR6" s="134" t="str">
        <x:f>IF(OR($A6="",AR$3=""),"",COUNTIFS(FINDINGS!$F$4:$F$203,$A6,FINDINGS!$B$4:$B$203,AR$3))</x:f>
      </x:c>
      <x:c r="AS6" s="134" t="str">
        <x:f>IF(OR($A6="",AS$3=""),"",COUNTIFS(FINDINGS!$F$4:$F$203,$A6,FINDINGS!$B$4:$B$203,AS$3))</x:f>
      </x:c>
    </x:row>
    <x:row r="7">
      <x:c r="A7" s="126" t="str">
        <x:f>IF(B7="","","C"&amp;TEXT(ROW()-3,"00"))</x:f>
      </x:c>
      <x:c r="B7" s="119"/>
      <x:c r="C7" s="119"/>
      <x:c r="D7" s="126" t="str">
        <x:f>IF(A7="","",COUNTIF(FINDINGS!$F$4:$F$203,A7))</x:f>
      </x:c>
      <x:c r="E7" s="126" t="str">
        <x:f>IF(A7="","",COUNTIF(P7:AS7,"&gt;0"))</x:f>
      </x:c>
      <x:c r="F7" s="126" t="str">
        <x:f>IF(A7="","",COUNTIFS(FINDINGS!$F$4:$F$203,A7,FINDINGS!$J$4:$J$203,"Supports"))</x:f>
      </x:c>
      <x:c r="G7" s="126" t="str">
        <x:f>IF(A7="","",COUNTIFS(FINDINGS!$F$4:$F$203,A7,FINDINGS!$J$4:$J$203,"Contradicts"))</x:f>
      </x:c>
      <x:c r="H7" s="126" t="str">
        <x:f>IF(A7="","",COUNTIFS(FINDINGS!$F$4:$F$203,A7,FINDINGS!$J$4:$J$203,"Complicates"))</x:f>
      </x:c>
      <x:c r="I7" s="126" t="str">
        <x:f>IF(A7="","",COUNTIFS(FINDINGS!$F$4:$F$203,A7,FINDINGS!$J$4:$J$203,"Context"))</x:f>
      </x:c>
      <x:c r="J7" s="126" t="str">
        <x:f>IF(A7="","",IF(OR(G7&gt;0,H7&gt;0),"Yes","No"))</x:f>
      </x:c>
      <x:c r="K7" s="126" t="str">
        <x:f>IF(A7="","",IF(E7=0,"NO EVIDENCE",IF(E7&lt;2,"THIN",IF(AND(F7&gt;0,G7=0,H7=0),"CHECK BALANCE","SYNTHESIS-READY"))))</x:f>
      </x:c>
      <x:c r="L7" s="126" t="str">
        <x:f>IF(A7="","",IF(OR(G7&gt;0,H7&gt;0),"Yes",IF(E7&lt;2,"Yes","Review")))</x:f>
      </x:c>
      <x:c r="M7" s="119"/>
      <x:c r="N7" s="119"/>
      <x:c r="O7" s="134"/>
      <x:c r="P7" s="134" t="str">
        <x:f>IF(OR($A7="",P$3=""),"",COUNTIFS(FINDINGS!$F$4:$F$203,$A7,FINDINGS!$B$4:$B$203,P$3))</x:f>
      </x:c>
      <x:c r="Q7" s="134" t="str">
        <x:f>IF(OR($A7="",Q$3=""),"",COUNTIFS(FINDINGS!$F$4:$F$203,$A7,FINDINGS!$B$4:$B$203,Q$3))</x:f>
      </x:c>
      <x:c r="R7" s="134" t="str">
        <x:f>IF(OR($A7="",R$3=""),"",COUNTIFS(FINDINGS!$F$4:$F$203,$A7,FINDINGS!$B$4:$B$203,R$3))</x:f>
      </x:c>
      <x:c r="S7" s="134" t="str">
        <x:f>IF(OR($A7="",S$3=""),"",COUNTIFS(FINDINGS!$F$4:$F$203,$A7,FINDINGS!$B$4:$B$203,S$3))</x:f>
      </x:c>
      <x:c r="T7" s="134" t="str">
        <x:f>IF(OR($A7="",T$3=""),"",COUNTIFS(FINDINGS!$F$4:$F$203,$A7,FINDINGS!$B$4:$B$203,T$3))</x:f>
      </x:c>
      <x:c r="U7" s="134" t="str">
        <x:f>IF(OR($A7="",U$3=""),"",COUNTIFS(FINDINGS!$F$4:$F$203,$A7,FINDINGS!$B$4:$B$203,U$3))</x:f>
      </x:c>
      <x:c r="V7" s="134" t="str">
        <x:f>IF(OR($A7="",V$3=""),"",COUNTIFS(FINDINGS!$F$4:$F$203,$A7,FINDINGS!$B$4:$B$203,V$3))</x:f>
      </x:c>
      <x:c r="W7" s="134" t="str">
        <x:f>IF(OR($A7="",W$3=""),"",COUNTIFS(FINDINGS!$F$4:$F$203,$A7,FINDINGS!$B$4:$B$203,W$3))</x:f>
      </x:c>
      <x:c r="X7" s="134" t="str">
        <x:f>IF(OR($A7="",X$3=""),"",COUNTIFS(FINDINGS!$F$4:$F$203,$A7,FINDINGS!$B$4:$B$203,X$3))</x:f>
      </x:c>
      <x:c r="Y7" s="134" t="str">
        <x:f>IF(OR($A7="",Y$3=""),"",COUNTIFS(FINDINGS!$F$4:$F$203,$A7,FINDINGS!$B$4:$B$203,Y$3))</x:f>
      </x:c>
      <x:c r="Z7" s="134" t="str">
        <x:f>IF(OR($A7="",Z$3=""),"",COUNTIFS(FINDINGS!$F$4:$F$203,$A7,FINDINGS!$B$4:$B$203,Z$3))</x:f>
      </x:c>
      <x:c r="AA7" s="134" t="str">
        <x:f>IF(OR($A7="",AA$3=""),"",COUNTIFS(FINDINGS!$F$4:$F$203,$A7,FINDINGS!$B$4:$B$203,AA$3))</x:f>
      </x:c>
      <x:c r="AB7" s="134" t="str">
        <x:f>IF(OR($A7="",AB$3=""),"",COUNTIFS(FINDINGS!$F$4:$F$203,$A7,FINDINGS!$B$4:$B$203,AB$3))</x:f>
      </x:c>
      <x:c r="AC7" s="134" t="str">
        <x:f>IF(OR($A7="",AC$3=""),"",COUNTIFS(FINDINGS!$F$4:$F$203,$A7,FINDINGS!$B$4:$B$203,AC$3))</x:f>
      </x:c>
      <x:c r="AD7" s="134" t="str">
        <x:f>IF(OR($A7="",AD$3=""),"",COUNTIFS(FINDINGS!$F$4:$F$203,$A7,FINDINGS!$B$4:$B$203,AD$3))</x:f>
      </x:c>
      <x:c r="AE7" s="134" t="str">
        <x:f>IF(OR($A7="",AE$3=""),"",COUNTIFS(FINDINGS!$F$4:$F$203,$A7,FINDINGS!$B$4:$B$203,AE$3))</x:f>
      </x:c>
      <x:c r="AF7" s="134" t="str">
        <x:f>IF(OR($A7="",AF$3=""),"",COUNTIFS(FINDINGS!$F$4:$F$203,$A7,FINDINGS!$B$4:$B$203,AF$3))</x:f>
      </x:c>
      <x:c r="AG7" s="134" t="str">
        <x:f>IF(OR($A7="",AG$3=""),"",COUNTIFS(FINDINGS!$F$4:$F$203,$A7,FINDINGS!$B$4:$B$203,AG$3))</x:f>
      </x:c>
      <x:c r="AH7" s="134" t="str">
        <x:f>IF(OR($A7="",AH$3=""),"",COUNTIFS(FINDINGS!$F$4:$F$203,$A7,FINDINGS!$B$4:$B$203,AH$3))</x:f>
      </x:c>
      <x:c r="AI7" s="134" t="str">
        <x:f>IF(OR($A7="",AI$3=""),"",COUNTIFS(FINDINGS!$F$4:$F$203,$A7,FINDINGS!$B$4:$B$203,AI$3))</x:f>
      </x:c>
      <x:c r="AJ7" s="134" t="str">
        <x:f>IF(OR($A7="",AJ$3=""),"",COUNTIFS(FINDINGS!$F$4:$F$203,$A7,FINDINGS!$B$4:$B$203,AJ$3))</x:f>
      </x:c>
      <x:c r="AK7" s="134" t="str">
        <x:f>IF(OR($A7="",AK$3=""),"",COUNTIFS(FINDINGS!$F$4:$F$203,$A7,FINDINGS!$B$4:$B$203,AK$3))</x:f>
      </x:c>
      <x:c r="AL7" s="134" t="str">
        <x:f>IF(OR($A7="",AL$3=""),"",COUNTIFS(FINDINGS!$F$4:$F$203,$A7,FINDINGS!$B$4:$B$203,AL$3))</x:f>
      </x:c>
      <x:c r="AM7" s="134" t="str">
        <x:f>IF(OR($A7="",AM$3=""),"",COUNTIFS(FINDINGS!$F$4:$F$203,$A7,FINDINGS!$B$4:$B$203,AM$3))</x:f>
      </x:c>
      <x:c r="AN7" s="134" t="str">
        <x:f>IF(OR($A7="",AN$3=""),"",COUNTIFS(FINDINGS!$F$4:$F$203,$A7,FINDINGS!$B$4:$B$203,AN$3))</x:f>
      </x:c>
      <x:c r="AO7" s="134" t="str">
        <x:f>IF(OR($A7="",AO$3=""),"",COUNTIFS(FINDINGS!$F$4:$F$203,$A7,FINDINGS!$B$4:$B$203,AO$3))</x:f>
      </x:c>
      <x:c r="AP7" s="134" t="str">
        <x:f>IF(OR($A7="",AP$3=""),"",COUNTIFS(FINDINGS!$F$4:$F$203,$A7,FINDINGS!$B$4:$B$203,AP$3))</x:f>
      </x:c>
      <x:c r="AQ7" s="134" t="str">
        <x:f>IF(OR($A7="",AQ$3=""),"",COUNTIFS(FINDINGS!$F$4:$F$203,$A7,FINDINGS!$B$4:$B$203,AQ$3))</x:f>
      </x:c>
      <x:c r="AR7" s="134" t="str">
        <x:f>IF(OR($A7="",AR$3=""),"",COUNTIFS(FINDINGS!$F$4:$F$203,$A7,FINDINGS!$B$4:$B$203,AR$3))</x:f>
      </x:c>
      <x:c r="AS7" s="134" t="str">
        <x:f>IF(OR($A7="",AS$3=""),"",COUNTIFS(FINDINGS!$F$4:$F$203,$A7,FINDINGS!$B$4:$B$203,AS$3))</x:f>
      </x:c>
    </x:row>
    <x:row r="8">
      <x:c r="A8" s="126" t="str">
        <x:f>IF(B8="","","C"&amp;TEXT(ROW()-3,"00"))</x:f>
      </x:c>
      <x:c r="B8" s="119"/>
      <x:c r="C8" s="119"/>
      <x:c r="D8" s="126" t="str">
        <x:f>IF(A8="","",COUNTIF(FINDINGS!$F$4:$F$203,A8))</x:f>
      </x:c>
      <x:c r="E8" s="126" t="str">
        <x:f>IF(A8="","",COUNTIF(P8:AS8,"&gt;0"))</x:f>
      </x:c>
      <x:c r="F8" s="126" t="str">
        <x:f>IF(A8="","",COUNTIFS(FINDINGS!$F$4:$F$203,A8,FINDINGS!$J$4:$J$203,"Supports"))</x:f>
      </x:c>
      <x:c r="G8" s="126" t="str">
        <x:f>IF(A8="","",COUNTIFS(FINDINGS!$F$4:$F$203,A8,FINDINGS!$J$4:$J$203,"Contradicts"))</x:f>
      </x:c>
      <x:c r="H8" s="126" t="str">
        <x:f>IF(A8="","",COUNTIFS(FINDINGS!$F$4:$F$203,A8,FINDINGS!$J$4:$J$203,"Complicates"))</x:f>
      </x:c>
      <x:c r="I8" s="126" t="str">
        <x:f>IF(A8="","",COUNTIFS(FINDINGS!$F$4:$F$203,A8,FINDINGS!$J$4:$J$203,"Context"))</x:f>
      </x:c>
      <x:c r="J8" s="126" t="str">
        <x:f>IF(A8="","",IF(OR(G8&gt;0,H8&gt;0),"Yes","No"))</x:f>
      </x:c>
      <x:c r="K8" s="126" t="str">
        <x:f>IF(A8="","",IF(E8=0,"NO EVIDENCE",IF(E8&lt;2,"THIN",IF(AND(F8&gt;0,G8=0,H8=0),"CHECK BALANCE","SYNTHESIS-READY"))))</x:f>
      </x:c>
      <x:c r="L8" s="126" t="str">
        <x:f>IF(A8="","",IF(OR(G8&gt;0,H8&gt;0),"Yes",IF(E8&lt;2,"Yes","Review")))</x:f>
      </x:c>
      <x:c r="M8" s="119"/>
      <x:c r="N8" s="119"/>
      <x:c r="O8" s="134"/>
      <x:c r="P8" s="134" t="str">
        <x:f>IF(OR($A8="",P$3=""),"",COUNTIFS(FINDINGS!$F$4:$F$203,$A8,FINDINGS!$B$4:$B$203,P$3))</x:f>
      </x:c>
      <x:c r="Q8" s="134" t="str">
        <x:f>IF(OR($A8="",Q$3=""),"",COUNTIFS(FINDINGS!$F$4:$F$203,$A8,FINDINGS!$B$4:$B$203,Q$3))</x:f>
      </x:c>
      <x:c r="R8" s="134" t="str">
        <x:f>IF(OR($A8="",R$3=""),"",COUNTIFS(FINDINGS!$F$4:$F$203,$A8,FINDINGS!$B$4:$B$203,R$3))</x:f>
      </x:c>
      <x:c r="S8" s="134" t="str">
        <x:f>IF(OR($A8="",S$3=""),"",COUNTIFS(FINDINGS!$F$4:$F$203,$A8,FINDINGS!$B$4:$B$203,S$3))</x:f>
      </x:c>
      <x:c r="T8" s="134" t="str">
        <x:f>IF(OR($A8="",T$3=""),"",COUNTIFS(FINDINGS!$F$4:$F$203,$A8,FINDINGS!$B$4:$B$203,T$3))</x:f>
      </x:c>
      <x:c r="U8" s="134" t="str">
        <x:f>IF(OR($A8="",U$3=""),"",COUNTIFS(FINDINGS!$F$4:$F$203,$A8,FINDINGS!$B$4:$B$203,U$3))</x:f>
      </x:c>
      <x:c r="V8" s="134" t="str">
        <x:f>IF(OR($A8="",V$3=""),"",COUNTIFS(FINDINGS!$F$4:$F$203,$A8,FINDINGS!$B$4:$B$203,V$3))</x:f>
      </x:c>
      <x:c r="W8" s="134" t="str">
        <x:f>IF(OR($A8="",W$3=""),"",COUNTIFS(FINDINGS!$F$4:$F$203,$A8,FINDINGS!$B$4:$B$203,W$3))</x:f>
      </x:c>
      <x:c r="X8" s="134" t="str">
        <x:f>IF(OR($A8="",X$3=""),"",COUNTIFS(FINDINGS!$F$4:$F$203,$A8,FINDINGS!$B$4:$B$203,X$3))</x:f>
      </x:c>
      <x:c r="Y8" s="134" t="str">
        <x:f>IF(OR($A8="",Y$3=""),"",COUNTIFS(FINDINGS!$F$4:$F$203,$A8,FINDINGS!$B$4:$B$203,Y$3))</x:f>
      </x:c>
      <x:c r="Z8" s="134" t="str">
        <x:f>IF(OR($A8="",Z$3=""),"",COUNTIFS(FINDINGS!$F$4:$F$203,$A8,FINDINGS!$B$4:$B$203,Z$3))</x:f>
      </x:c>
      <x:c r="AA8" s="134" t="str">
        <x:f>IF(OR($A8="",AA$3=""),"",COUNTIFS(FINDINGS!$F$4:$F$203,$A8,FINDINGS!$B$4:$B$203,AA$3))</x:f>
      </x:c>
      <x:c r="AB8" s="134" t="str">
        <x:f>IF(OR($A8="",AB$3=""),"",COUNTIFS(FINDINGS!$F$4:$F$203,$A8,FINDINGS!$B$4:$B$203,AB$3))</x:f>
      </x:c>
      <x:c r="AC8" s="134" t="str">
        <x:f>IF(OR($A8="",AC$3=""),"",COUNTIFS(FINDINGS!$F$4:$F$203,$A8,FINDINGS!$B$4:$B$203,AC$3))</x:f>
      </x:c>
      <x:c r="AD8" s="134" t="str">
        <x:f>IF(OR($A8="",AD$3=""),"",COUNTIFS(FINDINGS!$F$4:$F$203,$A8,FINDINGS!$B$4:$B$203,AD$3))</x:f>
      </x:c>
      <x:c r="AE8" s="134" t="str">
        <x:f>IF(OR($A8="",AE$3=""),"",COUNTIFS(FINDINGS!$F$4:$F$203,$A8,FINDINGS!$B$4:$B$203,AE$3))</x:f>
      </x:c>
      <x:c r="AF8" s="134" t="str">
        <x:f>IF(OR($A8="",AF$3=""),"",COUNTIFS(FINDINGS!$F$4:$F$203,$A8,FINDINGS!$B$4:$B$203,AF$3))</x:f>
      </x:c>
      <x:c r="AG8" s="134" t="str">
        <x:f>IF(OR($A8="",AG$3=""),"",COUNTIFS(FINDINGS!$F$4:$F$203,$A8,FINDINGS!$B$4:$B$203,AG$3))</x:f>
      </x:c>
      <x:c r="AH8" s="134" t="str">
        <x:f>IF(OR($A8="",AH$3=""),"",COUNTIFS(FINDINGS!$F$4:$F$203,$A8,FINDINGS!$B$4:$B$203,AH$3))</x:f>
      </x:c>
      <x:c r="AI8" s="134" t="str">
        <x:f>IF(OR($A8="",AI$3=""),"",COUNTIFS(FINDINGS!$F$4:$F$203,$A8,FINDINGS!$B$4:$B$203,AI$3))</x:f>
      </x:c>
      <x:c r="AJ8" s="134" t="str">
        <x:f>IF(OR($A8="",AJ$3=""),"",COUNTIFS(FINDINGS!$F$4:$F$203,$A8,FINDINGS!$B$4:$B$203,AJ$3))</x:f>
      </x:c>
      <x:c r="AK8" s="134" t="str">
        <x:f>IF(OR($A8="",AK$3=""),"",COUNTIFS(FINDINGS!$F$4:$F$203,$A8,FINDINGS!$B$4:$B$203,AK$3))</x:f>
      </x:c>
      <x:c r="AL8" s="134" t="str">
        <x:f>IF(OR($A8="",AL$3=""),"",COUNTIFS(FINDINGS!$F$4:$F$203,$A8,FINDINGS!$B$4:$B$203,AL$3))</x:f>
      </x:c>
      <x:c r="AM8" s="134" t="str">
        <x:f>IF(OR($A8="",AM$3=""),"",COUNTIFS(FINDINGS!$F$4:$F$203,$A8,FINDINGS!$B$4:$B$203,AM$3))</x:f>
      </x:c>
      <x:c r="AN8" s="134" t="str">
        <x:f>IF(OR($A8="",AN$3=""),"",COUNTIFS(FINDINGS!$F$4:$F$203,$A8,FINDINGS!$B$4:$B$203,AN$3))</x:f>
      </x:c>
      <x:c r="AO8" s="134" t="str">
        <x:f>IF(OR($A8="",AO$3=""),"",COUNTIFS(FINDINGS!$F$4:$F$203,$A8,FINDINGS!$B$4:$B$203,AO$3))</x:f>
      </x:c>
      <x:c r="AP8" s="134" t="str">
        <x:f>IF(OR($A8="",AP$3=""),"",COUNTIFS(FINDINGS!$F$4:$F$203,$A8,FINDINGS!$B$4:$B$203,AP$3))</x:f>
      </x:c>
      <x:c r="AQ8" s="134" t="str">
        <x:f>IF(OR($A8="",AQ$3=""),"",COUNTIFS(FINDINGS!$F$4:$F$203,$A8,FINDINGS!$B$4:$B$203,AQ$3))</x:f>
      </x:c>
      <x:c r="AR8" s="134" t="str">
        <x:f>IF(OR($A8="",AR$3=""),"",COUNTIFS(FINDINGS!$F$4:$F$203,$A8,FINDINGS!$B$4:$B$203,AR$3))</x:f>
      </x:c>
      <x:c r="AS8" s="134" t="str">
        <x:f>IF(OR($A8="",AS$3=""),"",COUNTIFS(FINDINGS!$F$4:$F$203,$A8,FINDINGS!$B$4:$B$203,AS$3))</x:f>
      </x:c>
    </x:row>
    <x:row r="9">
      <x:c r="A9" s="126" t="str">
        <x:f>IF(B9="","","C"&amp;TEXT(ROW()-3,"00"))</x:f>
      </x:c>
      <x:c r="B9" s="119"/>
      <x:c r="C9" s="119"/>
      <x:c r="D9" s="126" t="str">
        <x:f>IF(A9="","",COUNTIF(FINDINGS!$F$4:$F$203,A9))</x:f>
      </x:c>
      <x:c r="E9" s="126" t="str">
        <x:f>IF(A9="","",COUNTIF(P9:AS9,"&gt;0"))</x:f>
      </x:c>
      <x:c r="F9" s="126" t="str">
        <x:f>IF(A9="","",COUNTIFS(FINDINGS!$F$4:$F$203,A9,FINDINGS!$J$4:$J$203,"Supports"))</x:f>
      </x:c>
      <x:c r="G9" s="126" t="str">
        <x:f>IF(A9="","",COUNTIFS(FINDINGS!$F$4:$F$203,A9,FINDINGS!$J$4:$J$203,"Contradicts"))</x:f>
      </x:c>
      <x:c r="H9" s="126" t="str">
        <x:f>IF(A9="","",COUNTIFS(FINDINGS!$F$4:$F$203,A9,FINDINGS!$J$4:$J$203,"Complicates"))</x:f>
      </x:c>
      <x:c r="I9" s="126" t="str">
        <x:f>IF(A9="","",COUNTIFS(FINDINGS!$F$4:$F$203,A9,FINDINGS!$J$4:$J$203,"Context"))</x:f>
      </x:c>
      <x:c r="J9" s="126" t="str">
        <x:f>IF(A9="","",IF(OR(G9&gt;0,H9&gt;0),"Yes","No"))</x:f>
      </x:c>
      <x:c r="K9" s="126" t="str">
        <x:f>IF(A9="","",IF(E9=0,"NO EVIDENCE",IF(E9&lt;2,"THIN",IF(AND(F9&gt;0,G9=0,H9=0),"CHECK BALANCE","SYNTHESIS-READY"))))</x:f>
      </x:c>
      <x:c r="L9" s="126" t="str">
        <x:f>IF(A9="","",IF(OR(G9&gt;0,H9&gt;0),"Yes",IF(E9&lt;2,"Yes","Review")))</x:f>
      </x:c>
      <x:c r="M9" s="119"/>
      <x:c r="N9" s="119"/>
      <x:c r="O9" s="134"/>
      <x:c r="P9" s="134" t="str">
        <x:f>IF(OR($A9="",P$3=""),"",COUNTIFS(FINDINGS!$F$4:$F$203,$A9,FINDINGS!$B$4:$B$203,P$3))</x:f>
      </x:c>
      <x:c r="Q9" s="134" t="str">
        <x:f>IF(OR($A9="",Q$3=""),"",COUNTIFS(FINDINGS!$F$4:$F$203,$A9,FINDINGS!$B$4:$B$203,Q$3))</x:f>
      </x:c>
      <x:c r="R9" s="134" t="str">
        <x:f>IF(OR($A9="",R$3=""),"",COUNTIFS(FINDINGS!$F$4:$F$203,$A9,FINDINGS!$B$4:$B$203,R$3))</x:f>
      </x:c>
      <x:c r="S9" s="134" t="str">
        <x:f>IF(OR($A9="",S$3=""),"",COUNTIFS(FINDINGS!$F$4:$F$203,$A9,FINDINGS!$B$4:$B$203,S$3))</x:f>
      </x:c>
      <x:c r="T9" s="134" t="str">
        <x:f>IF(OR($A9="",T$3=""),"",COUNTIFS(FINDINGS!$F$4:$F$203,$A9,FINDINGS!$B$4:$B$203,T$3))</x:f>
      </x:c>
      <x:c r="U9" s="134" t="str">
        <x:f>IF(OR($A9="",U$3=""),"",COUNTIFS(FINDINGS!$F$4:$F$203,$A9,FINDINGS!$B$4:$B$203,U$3))</x:f>
      </x:c>
      <x:c r="V9" s="134" t="str">
        <x:f>IF(OR($A9="",V$3=""),"",COUNTIFS(FINDINGS!$F$4:$F$203,$A9,FINDINGS!$B$4:$B$203,V$3))</x:f>
      </x:c>
      <x:c r="W9" s="134" t="str">
        <x:f>IF(OR($A9="",W$3=""),"",COUNTIFS(FINDINGS!$F$4:$F$203,$A9,FINDINGS!$B$4:$B$203,W$3))</x:f>
      </x:c>
      <x:c r="X9" s="134" t="str">
        <x:f>IF(OR($A9="",X$3=""),"",COUNTIFS(FINDINGS!$F$4:$F$203,$A9,FINDINGS!$B$4:$B$203,X$3))</x:f>
      </x:c>
      <x:c r="Y9" s="134" t="str">
        <x:f>IF(OR($A9="",Y$3=""),"",COUNTIFS(FINDINGS!$F$4:$F$203,$A9,FINDINGS!$B$4:$B$203,Y$3))</x:f>
      </x:c>
      <x:c r="Z9" s="134" t="str">
        <x:f>IF(OR($A9="",Z$3=""),"",COUNTIFS(FINDINGS!$F$4:$F$203,$A9,FINDINGS!$B$4:$B$203,Z$3))</x:f>
      </x:c>
      <x:c r="AA9" s="134" t="str">
        <x:f>IF(OR($A9="",AA$3=""),"",COUNTIFS(FINDINGS!$F$4:$F$203,$A9,FINDINGS!$B$4:$B$203,AA$3))</x:f>
      </x:c>
      <x:c r="AB9" s="134" t="str">
        <x:f>IF(OR($A9="",AB$3=""),"",COUNTIFS(FINDINGS!$F$4:$F$203,$A9,FINDINGS!$B$4:$B$203,AB$3))</x:f>
      </x:c>
      <x:c r="AC9" s="134" t="str">
        <x:f>IF(OR($A9="",AC$3=""),"",COUNTIFS(FINDINGS!$F$4:$F$203,$A9,FINDINGS!$B$4:$B$203,AC$3))</x:f>
      </x:c>
      <x:c r="AD9" s="134" t="str">
        <x:f>IF(OR($A9="",AD$3=""),"",COUNTIFS(FINDINGS!$F$4:$F$203,$A9,FINDINGS!$B$4:$B$203,AD$3))</x:f>
      </x:c>
      <x:c r="AE9" s="134" t="str">
        <x:f>IF(OR($A9="",AE$3=""),"",COUNTIFS(FINDINGS!$F$4:$F$203,$A9,FINDINGS!$B$4:$B$203,AE$3))</x:f>
      </x:c>
      <x:c r="AF9" s="134" t="str">
        <x:f>IF(OR($A9="",AF$3=""),"",COUNTIFS(FINDINGS!$F$4:$F$203,$A9,FINDINGS!$B$4:$B$203,AF$3))</x:f>
      </x:c>
      <x:c r="AG9" s="134" t="str">
        <x:f>IF(OR($A9="",AG$3=""),"",COUNTIFS(FINDINGS!$F$4:$F$203,$A9,FINDINGS!$B$4:$B$203,AG$3))</x:f>
      </x:c>
      <x:c r="AH9" s="134" t="str">
        <x:f>IF(OR($A9="",AH$3=""),"",COUNTIFS(FINDINGS!$F$4:$F$203,$A9,FINDINGS!$B$4:$B$203,AH$3))</x:f>
      </x:c>
      <x:c r="AI9" s="134" t="str">
        <x:f>IF(OR($A9="",AI$3=""),"",COUNTIFS(FINDINGS!$F$4:$F$203,$A9,FINDINGS!$B$4:$B$203,AI$3))</x:f>
      </x:c>
      <x:c r="AJ9" s="134" t="str">
        <x:f>IF(OR($A9="",AJ$3=""),"",COUNTIFS(FINDINGS!$F$4:$F$203,$A9,FINDINGS!$B$4:$B$203,AJ$3))</x:f>
      </x:c>
      <x:c r="AK9" s="134" t="str">
        <x:f>IF(OR($A9="",AK$3=""),"",COUNTIFS(FINDINGS!$F$4:$F$203,$A9,FINDINGS!$B$4:$B$203,AK$3))</x:f>
      </x:c>
      <x:c r="AL9" s="134" t="str">
        <x:f>IF(OR($A9="",AL$3=""),"",COUNTIFS(FINDINGS!$F$4:$F$203,$A9,FINDINGS!$B$4:$B$203,AL$3))</x:f>
      </x:c>
      <x:c r="AM9" s="134" t="str">
        <x:f>IF(OR($A9="",AM$3=""),"",COUNTIFS(FINDINGS!$F$4:$F$203,$A9,FINDINGS!$B$4:$B$203,AM$3))</x:f>
      </x:c>
      <x:c r="AN9" s="134" t="str">
        <x:f>IF(OR($A9="",AN$3=""),"",COUNTIFS(FINDINGS!$F$4:$F$203,$A9,FINDINGS!$B$4:$B$203,AN$3))</x:f>
      </x:c>
      <x:c r="AO9" s="134" t="str">
        <x:f>IF(OR($A9="",AO$3=""),"",COUNTIFS(FINDINGS!$F$4:$F$203,$A9,FINDINGS!$B$4:$B$203,AO$3))</x:f>
      </x:c>
      <x:c r="AP9" s="134" t="str">
        <x:f>IF(OR($A9="",AP$3=""),"",COUNTIFS(FINDINGS!$F$4:$F$203,$A9,FINDINGS!$B$4:$B$203,AP$3))</x:f>
      </x:c>
      <x:c r="AQ9" s="134" t="str">
        <x:f>IF(OR($A9="",AQ$3=""),"",COUNTIFS(FINDINGS!$F$4:$F$203,$A9,FINDINGS!$B$4:$B$203,AQ$3))</x:f>
      </x:c>
      <x:c r="AR9" s="134" t="str">
        <x:f>IF(OR($A9="",AR$3=""),"",COUNTIFS(FINDINGS!$F$4:$F$203,$A9,FINDINGS!$B$4:$B$203,AR$3))</x:f>
      </x:c>
      <x:c r="AS9" s="134" t="str">
        <x:f>IF(OR($A9="",AS$3=""),"",COUNTIFS(FINDINGS!$F$4:$F$203,$A9,FINDINGS!$B$4:$B$203,AS$3))</x:f>
      </x:c>
    </x:row>
    <x:row r="10">
      <x:c r="A10" s="126" t="str">
        <x:f>IF(B10="","","C"&amp;TEXT(ROW()-3,"00"))</x:f>
      </x:c>
      <x:c r="B10" s="119"/>
      <x:c r="C10" s="119"/>
      <x:c r="D10" s="126" t="str">
        <x:f>IF(A10="","",COUNTIF(FINDINGS!$F$4:$F$203,A10))</x:f>
      </x:c>
      <x:c r="E10" s="126" t="str">
        <x:f>IF(A10="","",COUNTIF(P10:AS10,"&gt;0"))</x:f>
      </x:c>
      <x:c r="F10" s="126" t="str">
        <x:f>IF(A10="","",COUNTIFS(FINDINGS!$F$4:$F$203,A10,FINDINGS!$J$4:$J$203,"Supports"))</x:f>
      </x:c>
      <x:c r="G10" s="126" t="str">
        <x:f>IF(A10="","",COUNTIFS(FINDINGS!$F$4:$F$203,A10,FINDINGS!$J$4:$J$203,"Contradicts"))</x:f>
      </x:c>
      <x:c r="H10" s="126" t="str">
        <x:f>IF(A10="","",COUNTIFS(FINDINGS!$F$4:$F$203,A10,FINDINGS!$J$4:$J$203,"Complicates"))</x:f>
      </x:c>
      <x:c r="I10" s="126" t="str">
        <x:f>IF(A10="","",COUNTIFS(FINDINGS!$F$4:$F$203,A10,FINDINGS!$J$4:$J$203,"Context"))</x:f>
      </x:c>
      <x:c r="J10" s="126" t="str">
        <x:f>IF(A10="","",IF(OR(G10&gt;0,H10&gt;0),"Yes","No"))</x:f>
      </x:c>
      <x:c r="K10" s="126" t="str">
        <x:f>IF(A10="","",IF(E10=0,"NO EVIDENCE",IF(E10&lt;2,"THIN",IF(AND(F10&gt;0,G10=0,H10=0),"CHECK BALANCE","SYNTHESIS-READY"))))</x:f>
      </x:c>
      <x:c r="L10" s="126" t="str">
        <x:f>IF(A10="","",IF(OR(G10&gt;0,H10&gt;0),"Yes",IF(E10&lt;2,"Yes","Review")))</x:f>
      </x:c>
      <x:c r="M10" s="119"/>
      <x:c r="N10" s="119"/>
      <x:c r="O10" s="134"/>
      <x:c r="P10" s="134" t="str">
        <x:f>IF(OR($A10="",P$3=""),"",COUNTIFS(FINDINGS!$F$4:$F$203,$A10,FINDINGS!$B$4:$B$203,P$3))</x:f>
      </x:c>
      <x:c r="Q10" s="134" t="str">
        <x:f>IF(OR($A10="",Q$3=""),"",COUNTIFS(FINDINGS!$F$4:$F$203,$A10,FINDINGS!$B$4:$B$203,Q$3))</x:f>
      </x:c>
      <x:c r="R10" s="134" t="str">
        <x:f>IF(OR($A10="",R$3=""),"",COUNTIFS(FINDINGS!$F$4:$F$203,$A10,FINDINGS!$B$4:$B$203,R$3))</x:f>
      </x:c>
      <x:c r="S10" s="134" t="str">
        <x:f>IF(OR($A10="",S$3=""),"",COUNTIFS(FINDINGS!$F$4:$F$203,$A10,FINDINGS!$B$4:$B$203,S$3))</x:f>
      </x:c>
      <x:c r="T10" s="134" t="str">
        <x:f>IF(OR($A10="",T$3=""),"",COUNTIFS(FINDINGS!$F$4:$F$203,$A10,FINDINGS!$B$4:$B$203,T$3))</x:f>
      </x:c>
      <x:c r="U10" s="134" t="str">
        <x:f>IF(OR($A10="",U$3=""),"",COUNTIFS(FINDINGS!$F$4:$F$203,$A10,FINDINGS!$B$4:$B$203,U$3))</x:f>
      </x:c>
      <x:c r="V10" s="134" t="str">
        <x:f>IF(OR($A10="",V$3=""),"",COUNTIFS(FINDINGS!$F$4:$F$203,$A10,FINDINGS!$B$4:$B$203,V$3))</x:f>
      </x:c>
      <x:c r="W10" s="134" t="str">
        <x:f>IF(OR($A10="",W$3=""),"",COUNTIFS(FINDINGS!$F$4:$F$203,$A10,FINDINGS!$B$4:$B$203,W$3))</x:f>
      </x:c>
      <x:c r="X10" s="134" t="str">
        <x:f>IF(OR($A10="",X$3=""),"",COUNTIFS(FINDINGS!$F$4:$F$203,$A10,FINDINGS!$B$4:$B$203,X$3))</x:f>
      </x:c>
      <x:c r="Y10" s="134" t="str">
        <x:f>IF(OR($A10="",Y$3=""),"",COUNTIFS(FINDINGS!$F$4:$F$203,$A10,FINDINGS!$B$4:$B$203,Y$3))</x:f>
      </x:c>
      <x:c r="Z10" s="134" t="str">
        <x:f>IF(OR($A10="",Z$3=""),"",COUNTIFS(FINDINGS!$F$4:$F$203,$A10,FINDINGS!$B$4:$B$203,Z$3))</x:f>
      </x:c>
      <x:c r="AA10" s="134" t="str">
        <x:f>IF(OR($A10="",AA$3=""),"",COUNTIFS(FINDINGS!$F$4:$F$203,$A10,FINDINGS!$B$4:$B$203,AA$3))</x:f>
      </x:c>
      <x:c r="AB10" s="134" t="str">
        <x:f>IF(OR($A10="",AB$3=""),"",COUNTIFS(FINDINGS!$F$4:$F$203,$A10,FINDINGS!$B$4:$B$203,AB$3))</x:f>
      </x:c>
      <x:c r="AC10" s="134" t="str">
        <x:f>IF(OR($A10="",AC$3=""),"",COUNTIFS(FINDINGS!$F$4:$F$203,$A10,FINDINGS!$B$4:$B$203,AC$3))</x:f>
      </x:c>
      <x:c r="AD10" s="134" t="str">
        <x:f>IF(OR($A10="",AD$3=""),"",COUNTIFS(FINDINGS!$F$4:$F$203,$A10,FINDINGS!$B$4:$B$203,AD$3))</x:f>
      </x:c>
      <x:c r="AE10" s="134" t="str">
        <x:f>IF(OR($A10="",AE$3=""),"",COUNTIFS(FINDINGS!$F$4:$F$203,$A10,FINDINGS!$B$4:$B$203,AE$3))</x:f>
      </x:c>
      <x:c r="AF10" s="134" t="str">
        <x:f>IF(OR($A10="",AF$3=""),"",COUNTIFS(FINDINGS!$F$4:$F$203,$A10,FINDINGS!$B$4:$B$203,AF$3))</x:f>
      </x:c>
      <x:c r="AG10" s="134" t="str">
        <x:f>IF(OR($A10="",AG$3=""),"",COUNTIFS(FINDINGS!$F$4:$F$203,$A10,FINDINGS!$B$4:$B$203,AG$3))</x:f>
      </x:c>
      <x:c r="AH10" s="134" t="str">
        <x:f>IF(OR($A10="",AH$3=""),"",COUNTIFS(FINDINGS!$F$4:$F$203,$A10,FINDINGS!$B$4:$B$203,AH$3))</x:f>
      </x:c>
      <x:c r="AI10" s="134" t="str">
        <x:f>IF(OR($A10="",AI$3=""),"",COUNTIFS(FINDINGS!$F$4:$F$203,$A10,FINDINGS!$B$4:$B$203,AI$3))</x:f>
      </x:c>
      <x:c r="AJ10" s="134" t="str">
        <x:f>IF(OR($A10="",AJ$3=""),"",COUNTIFS(FINDINGS!$F$4:$F$203,$A10,FINDINGS!$B$4:$B$203,AJ$3))</x:f>
      </x:c>
      <x:c r="AK10" s="134" t="str">
        <x:f>IF(OR($A10="",AK$3=""),"",COUNTIFS(FINDINGS!$F$4:$F$203,$A10,FINDINGS!$B$4:$B$203,AK$3))</x:f>
      </x:c>
      <x:c r="AL10" s="134" t="str">
        <x:f>IF(OR($A10="",AL$3=""),"",COUNTIFS(FINDINGS!$F$4:$F$203,$A10,FINDINGS!$B$4:$B$203,AL$3))</x:f>
      </x:c>
      <x:c r="AM10" s="134" t="str">
        <x:f>IF(OR($A10="",AM$3=""),"",COUNTIFS(FINDINGS!$F$4:$F$203,$A10,FINDINGS!$B$4:$B$203,AM$3))</x:f>
      </x:c>
      <x:c r="AN10" s="134" t="str">
        <x:f>IF(OR($A10="",AN$3=""),"",COUNTIFS(FINDINGS!$F$4:$F$203,$A10,FINDINGS!$B$4:$B$203,AN$3))</x:f>
      </x:c>
      <x:c r="AO10" s="134" t="str">
        <x:f>IF(OR($A10="",AO$3=""),"",COUNTIFS(FINDINGS!$F$4:$F$203,$A10,FINDINGS!$B$4:$B$203,AO$3))</x:f>
      </x:c>
      <x:c r="AP10" s="134" t="str">
        <x:f>IF(OR($A10="",AP$3=""),"",COUNTIFS(FINDINGS!$F$4:$F$203,$A10,FINDINGS!$B$4:$B$203,AP$3))</x:f>
      </x:c>
      <x:c r="AQ10" s="134" t="str">
        <x:f>IF(OR($A10="",AQ$3=""),"",COUNTIFS(FINDINGS!$F$4:$F$203,$A10,FINDINGS!$B$4:$B$203,AQ$3))</x:f>
      </x:c>
      <x:c r="AR10" s="134" t="str">
        <x:f>IF(OR($A10="",AR$3=""),"",COUNTIFS(FINDINGS!$F$4:$F$203,$A10,FINDINGS!$B$4:$B$203,AR$3))</x:f>
      </x:c>
      <x:c r="AS10" s="134" t="str">
        <x:f>IF(OR($A10="",AS$3=""),"",COUNTIFS(FINDINGS!$F$4:$F$203,$A10,FINDINGS!$B$4:$B$203,AS$3))</x:f>
      </x:c>
    </x:row>
    <x:row r="11">
      <x:c r="A11" s="126" t="str">
        <x:f>IF(B11="","","C"&amp;TEXT(ROW()-3,"00"))</x:f>
      </x:c>
      <x:c r="B11" s="119"/>
      <x:c r="C11" s="119"/>
      <x:c r="D11" s="126" t="str">
        <x:f>IF(A11="","",COUNTIF(FINDINGS!$F$4:$F$203,A11))</x:f>
      </x:c>
      <x:c r="E11" s="126" t="str">
        <x:f>IF(A11="","",COUNTIF(P11:AS11,"&gt;0"))</x:f>
      </x:c>
      <x:c r="F11" s="126" t="str">
        <x:f>IF(A11="","",COUNTIFS(FINDINGS!$F$4:$F$203,A11,FINDINGS!$J$4:$J$203,"Supports"))</x:f>
      </x:c>
      <x:c r="G11" s="126" t="str">
        <x:f>IF(A11="","",COUNTIFS(FINDINGS!$F$4:$F$203,A11,FINDINGS!$J$4:$J$203,"Contradicts"))</x:f>
      </x:c>
      <x:c r="H11" s="126" t="str">
        <x:f>IF(A11="","",COUNTIFS(FINDINGS!$F$4:$F$203,A11,FINDINGS!$J$4:$J$203,"Complicates"))</x:f>
      </x:c>
      <x:c r="I11" s="126" t="str">
        <x:f>IF(A11="","",COUNTIFS(FINDINGS!$F$4:$F$203,A11,FINDINGS!$J$4:$J$203,"Context"))</x:f>
      </x:c>
      <x:c r="J11" s="126" t="str">
        <x:f>IF(A11="","",IF(OR(G11&gt;0,H11&gt;0),"Yes","No"))</x:f>
      </x:c>
      <x:c r="K11" s="126" t="str">
        <x:f>IF(A11="","",IF(E11=0,"NO EVIDENCE",IF(E11&lt;2,"THIN",IF(AND(F11&gt;0,G11=0,H11=0),"CHECK BALANCE","SYNTHESIS-READY"))))</x:f>
      </x:c>
      <x:c r="L11" s="126" t="str">
        <x:f>IF(A11="","",IF(OR(G11&gt;0,H11&gt;0),"Yes",IF(E11&lt;2,"Yes","Review")))</x:f>
      </x:c>
      <x:c r="M11" s="119"/>
      <x:c r="N11" s="119"/>
      <x:c r="O11" s="134"/>
      <x:c r="P11" s="134" t="str">
        <x:f>IF(OR($A11="",P$3=""),"",COUNTIFS(FINDINGS!$F$4:$F$203,$A11,FINDINGS!$B$4:$B$203,P$3))</x:f>
      </x:c>
      <x:c r="Q11" s="134" t="str">
        <x:f>IF(OR($A11="",Q$3=""),"",COUNTIFS(FINDINGS!$F$4:$F$203,$A11,FINDINGS!$B$4:$B$203,Q$3))</x:f>
      </x:c>
      <x:c r="R11" s="134" t="str">
        <x:f>IF(OR($A11="",R$3=""),"",COUNTIFS(FINDINGS!$F$4:$F$203,$A11,FINDINGS!$B$4:$B$203,R$3))</x:f>
      </x:c>
      <x:c r="S11" s="134" t="str">
        <x:f>IF(OR($A11="",S$3=""),"",COUNTIFS(FINDINGS!$F$4:$F$203,$A11,FINDINGS!$B$4:$B$203,S$3))</x:f>
      </x:c>
      <x:c r="T11" s="134" t="str">
        <x:f>IF(OR($A11="",T$3=""),"",COUNTIFS(FINDINGS!$F$4:$F$203,$A11,FINDINGS!$B$4:$B$203,T$3))</x:f>
      </x:c>
      <x:c r="U11" s="134" t="str">
        <x:f>IF(OR($A11="",U$3=""),"",COUNTIFS(FINDINGS!$F$4:$F$203,$A11,FINDINGS!$B$4:$B$203,U$3))</x:f>
      </x:c>
      <x:c r="V11" s="134" t="str">
        <x:f>IF(OR($A11="",V$3=""),"",COUNTIFS(FINDINGS!$F$4:$F$203,$A11,FINDINGS!$B$4:$B$203,V$3))</x:f>
      </x:c>
      <x:c r="W11" s="134" t="str">
        <x:f>IF(OR($A11="",W$3=""),"",COUNTIFS(FINDINGS!$F$4:$F$203,$A11,FINDINGS!$B$4:$B$203,W$3))</x:f>
      </x:c>
      <x:c r="X11" s="134" t="str">
        <x:f>IF(OR($A11="",X$3=""),"",COUNTIFS(FINDINGS!$F$4:$F$203,$A11,FINDINGS!$B$4:$B$203,X$3))</x:f>
      </x:c>
      <x:c r="Y11" s="134" t="str">
        <x:f>IF(OR($A11="",Y$3=""),"",COUNTIFS(FINDINGS!$F$4:$F$203,$A11,FINDINGS!$B$4:$B$203,Y$3))</x:f>
      </x:c>
      <x:c r="Z11" s="134" t="str">
        <x:f>IF(OR($A11="",Z$3=""),"",COUNTIFS(FINDINGS!$F$4:$F$203,$A11,FINDINGS!$B$4:$B$203,Z$3))</x:f>
      </x:c>
      <x:c r="AA11" s="134" t="str">
        <x:f>IF(OR($A11="",AA$3=""),"",COUNTIFS(FINDINGS!$F$4:$F$203,$A11,FINDINGS!$B$4:$B$203,AA$3))</x:f>
      </x:c>
      <x:c r="AB11" s="134" t="str">
        <x:f>IF(OR($A11="",AB$3=""),"",COUNTIFS(FINDINGS!$F$4:$F$203,$A11,FINDINGS!$B$4:$B$203,AB$3))</x:f>
      </x:c>
      <x:c r="AC11" s="134" t="str">
        <x:f>IF(OR($A11="",AC$3=""),"",COUNTIFS(FINDINGS!$F$4:$F$203,$A11,FINDINGS!$B$4:$B$203,AC$3))</x:f>
      </x:c>
      <x:c r="AD11" s="134" t="str">
        <x:f>IF(OR($A11="",AD$3=""),"",COUNTIFS(FINDINGS!$F$4:$F$203,$A11,FINDINGS!$B$4:$B$203,AD$3))</x:f>
      </x:c>
      <x:c r="AE11" s="134" t="str">
        <x:f>IF(OR($A11="",AE$3=""),"",COUNTIFS(FINDINGS!$F$4:$F$203,$A11,FINDINGS!$B$4:$B$203,AE$3))</x:f>
      </x:c>
      <x:c r="AF11" s="134" t="str">
        <x:f>IF(OR($A11="",AF$3=""),"",COUNTIFS(FINDINGS!$F$4:$F$203,$A11,FINDINGS!$B$4:$B$203,AF$3))</x:f>
      </x:c>
      <x:c r="AG11" s="134" t="str">
        <x:f>IF(OR($A11="",AG$3=""),"",COUNTIFS(FINDINGS!$F$4:$F$203,$A11,FINDINGS!$B$4:$B$203,AG$3))</x:f>
      </x:c>
      <x:c r="AH11" s="134" t="str">
        <x:f>IF(OR($A11="",AH$3=""),"",COUNTIFS(FINDINGS!$F$4:$F$203,$A11,FINDINGS!$B$4:$B$203,AH$3))</x:f>
      </x:c>
      <x:c r="AI11" s="134" t="str">
        <x:f>IF(OR($A11="",AI$3=""),"",COUNTIFS(FINDINGS!$F$4:$F$203,$A11,FINDINGS!$B$4:$B$203,AI$3))</x:f>
      </x:c>
      <x:c r="AJ11" s="134" t="str">
        <x:f>IF(OR($A11="",AJ$3=""),"",COUNTIFS(FINDINGS!$F$4:$F$203,$A11,FINDINGS!$B$4:$B$203,AJ$3))</x:f>
      </x:c>
      <x:c r="AK11" s="134" t="str">
        <x:f>IF(OR($A11="",AK$3=""),"",COUNTIFS(FINDINGS!$F$4:$F$203,$A11,FINDINGS!$B$4:$B$203,AK$3))</x:f>
      </x:c>
      <x:c r="AL11" s="134" t="str">
        <x:f>IF(OR($A11="",AL$3=""),"",COUNTIFS(FINDINGS!$F$4:$F$203,$A11,FINDINGS!$B$4:$B$203,AL$3))</x:f>
      </x:c>
      <x:c r="AM11" s="134" t="str">
        <x:f>IF(OR($A11="",AM$3=""),"",COUNTIFS(FINDINGS!$F$4:$F$203,$A11,FINDINGS!$B$4:$B$203,AM$3))</x:f>
      </x:c>
      <x:c r="AN11" s="134" t="str">
        <x:f>IF(OR($A11="",AN$3=""),"",COUNTIFS(FINDINGS!$F$4:$F$203,$A11,FINDINGS!$B$4:$B$203,AN$3))</x:f>
      </x:c>
      <x:c r="AO11" s="134" t="str">
        <x:f>IF(OR($A11="",AO$3=""),"",COUNTIFS(FINDINGS!$F$4:$F$203,$A11,FINDINGS!$B$4:$B$203,AO$3))</x:f>
      </x:c>
      <x:c r="AP11" s="134" t="str">
        <x:f>IF(OR($A11="",AP$3=""),"",COUNTIFS(FINDINGS!$F$4:$F$203,$A11,FINDINGS!$B$4:$B$203,AP$3))</x:f>
      </x:c>
      <x:c r="AQ11" s="134" t="str">
        <x:f>IF(OR($A11="",AQ$3=""),"",COUNTIFS(FINDINGS!$F$4:$F$203,$A11,FINDINGS!$B$4:$B$203,AQ$3))</x:f>
      </x:c>
      <x:c r="AR11" s="134" t="str">
        <x:f>IF(OR($A11="",AR$3=""),"",COUNTIFS(FINDINGS!$F$4:$F$203,$A11,FINDINGS!$B$4:$B$203,AR$3))</x:f>
      </x:c>
      <x:c r="AS11" s="134" t="str">
        <x:f>IF(OR($A11="",AS$3=""),"",COUNTIFS(FINDINGS!$F$4:$F$203,$A11,FINDINGS!$B$4:$B$203,AS$3))</x:f>
      </x:c>
    </x:row>
    <x:row r="12">
      <x:c r="A12" s="126" t="str">
        <x:f>IF(B12="","","C"&amp;TEXT(ROW()-3,"00"))</x:f>
      </x:c>
      <x:c r="B12" s="119"/>
      <x:c r="C12" s="119"/>
      <x:c r="D12" s="126" t="str">
        <x:f>IF(A12="","",COUNTIF(FINDINGS!$F$4:$F$203,A12))</x:f>
      </x:c>
      <x:c r="E12" s="126" t="str">
        <x:f>IF(A12="","",COUNTIF(P12:AS12,"&gt;0"))</x:f>
      </x:c>
      <x:c r="F12" s="126" t="str">
        <x:f>IF(A12="","",COUNTIFS(FINDINGS!$F$4:$F$203,A12,FINDINGS!$J$4:$J$203,"Supports"))</x:f>
      </x:c>
      <x:c r="G12" s="126" t="str">
        <x:f>IF(A12="","",COUNTIFS(FINDINGS!$F$4:$F$203,A12,FINDINGS!$J$4:$J$203,"Contradicts"))</x:f>
      </x:c>
      <x:c r="H12" s="126" t="str">
        <x:f>IF(A12="","",COUNTIFS(FINDINGS!$F$4:$F$203,A12,FINDINGS!$J$4:$J$203,"Complicates"))</x:f>
      </x:c>
      <x:c r="I12" s="126" t="str">
        <x:f>IF(A12="","",COUNTIFS(FINDINGS!$F$4:$F$203,A12,FINDINGS!$J$4:$J$203,"Context"))</x:f>
      </x:c>
      <x:c r="J12" s="126" t="str">
        <x:f>IF(A12="","",IF(OR(G12&gt;0,H12&gt;0),"Yes","No"))</x:f>
      </x:c>
      <x:c r="K12" s="126" t="str">
        <x:f>IF(A12="","",IF(E12=0,"NO EVIDENCE",IF(E12&lt;2,"THIN",IF(AND(F12&gt;0,G12=0,H12=0),"CHECK BALANCE","SYNTHESIS-READY"))))</x:f>
      </x:c>
      <x:c r="L12" s="126" t="str">
        <x:f>IF(A12="","",IF(OR(G12&gt;0,H12&gt;0),"Yes",IF(E12&lt;2,"Yes","Review")))</x:f>
      </x:c>
      <x:c r="M12" s="119"/>
      <x:c r="N12" s="119"/>
      <x:c r="O12" s="134"/>
      <x:c r="P12" s="134" t="str">
        <x:f>IF(OR($A12="",P$3=""),"",COUNTIFS(FINDINGS!$F$4:$F$203,$A12,FINDINGS!$B$4:$B$203,P$3))</x:f>
      </x:c>
      <x:c r="Q12" s="134" t="str">
        <x:f>IF(OR($A12="",Q$3=""),"",COUNTIFS(FINDINGS!$F$4:$F$203,$A12,FINDINGS!$B$4:$B$203,Q$3))</x:f>
      </x:c>
      <x:c r="R12" s="134" t="str">
        <x:f>IF(OR($A12="",R$3=""),"",COUNTIFS(FINDINGS!$F$4:$F$203,$A12,FINDINGS!$B$4:$B$203,R$3))</x:f>
      </x:c>
      <x:c r="S12" s="134" t="str">
        <x:f>IF(OR($A12="",S$3=""),"",COUNTIFS(FINDINGS!$F$4:$F$203,$A12,FINDINGS!$B$4:$B$203,S$3))</x:f>
      </x:c>
      <x:c r="T12" s="134" t="str">
        <x:f>IF(OR($A12="",T$3=""),"",COUNTIFS(FINDINGS!$F$4:$F$203,$A12,FINDINGS!$B$4:$B$203,T$3))</x:f>
      </x:c>
      <x:c r="U12" s="134" t="str">
        <x:f>IF(OR($A12="",U$3=""),"",COUNTIFS(FINDINGS!$F$4:$F$203,$A12,FINDINGS!$B$4:$B$203,U$3))</x:f>
      </x:c>
      <x:c r="V12" s="134" t="str">
        <x:f>IF(OR($A12="",V$3=""),"",COUNTIFS(FINDINGS!$F$4:$F$203,$A12,FINDINGS!$B$4:$B$203,V$3))</x:f>
      </x:c>
      <x:c r="W12" s="134" t="str">
        <x:f>IF(OR($A12="",W$3=""),"",COUNTIFS(FINDINGS!$F$4:$F$203,$A12,FINDINGS!$B$4:$B$203,W$3))</x:f>
      </x:c>
      <x:c r="X12" s="134" t="str">
        <x:f>IF(OR($A12="",X$3=""),"",COUNTIFS(FINDINGS!$F$4:$F$203,$A12,FINDINGS!$B$4:$B$203,X$3))</x:f>
      </x:c>
      <x:c r="Y12" s="134" t="str">
        <x:f>IF(OR($A12="",Y$3=""),"",COUNTIFS(FINDINGS!$F$4:$F$203,$A12,FINDINGS!$B$4:$B$203,Y$3))</x:f>
      </x:c>
      <x:c r="Z12" s="134" t="str">
        <x:f>IF(OR($A12="",Z$3=""),"",COUNTIFS(FINDINGS!$F$4:$F$203,$A12,FINDINGS!$B$4:$B$203,Z$3))</x:f>
      </x:c>
      <x:c r="AA12" s="134" t="str">
        <x:f>IF(OR($A12="",AA$3=""),"",COUNTIFS(FINDINGS!$F$4:$F$203,$A12,FINDINGS!$B$4:$B$203,AA$3))</x:f>
      </x:c>
      <x:c r="AB12" s="134" t="str">
        <x:f>IF(OR($A12="",AB$3=""),"",COUNTIFS(FINDINGS!$F$4:$F$203,$A12,FINDINGS!$B$4:$B$203,AB$3))</x:f>
      </x:c>
      <x:c r="AC12" s="134" t="str">
        <x:f>IF(OR($A12="",AC$3=""),"",COUNTIFS(FINDINGS!$F$4:$F$203,$A12,FINDINGS!$B$4:$B$203,AC$3))</x:f>
      </x:c>
      <x:c r="AD12" s="134" t="str">
        <x:f>IF(OR($A12="",AD$3=""),"",COUNTIFS(FINDINGS!$F$4:$F$203,$A12,FINDINGS!$B$4:$B$203,AD$3))</x:f>
      </x:c>
      <x:c r="AE12" s="134" t="str">
        <x:f>IF(OR($A12="",AE$3=""),"",COUNTIFS(FINDINGS!$F$4:$F$203,$A12,FINDINGS!$B$4:$B$203,AE$3))</x:f>
      </x:c>
      <x:c r="AF12" s="134" t="str">
        <x:f>IF(OR($A12="",AF$3=""),"",COUNTIFS(FINDINGS!$F$4:$F$203,$A12,FINDINGS!$B$4:$B$203,AF$3))</x:f>
      </x:c>
      <x:c r="AG12" s="134" t="str">
        <x:f>IF(OR($A12="",AG$3=""),"",COUNTIFS(FINDINGS!$F$4:$F$203,$A12,FINDINGS!$B$4:$B$203,AG$3))</x:f>
      </x:c>
      <x:c r="AH12" s="134" t="str">
        <x:f>IF(OR($A12="",AH$3=""),"",COUNTIFS(FINDINGS!$F$4:$F$203,$A12,FINDINGS!$B$4:$B$203,AH$3))</x:f>
      </x:c>
      <x:c r="AI12" s="134" t="str">
        <x:f>IF(OR($A12="",AI$3=""),"",COUNTIFS(FINDINGS!$F$4:$F$203,$A12,FINDINGS!$B$4:$B$203,AI$3))</x:f>
      </x:c>
      <x:c r="AJ12" s="134" t="str">
        <x:f>IF(OR($A12="",AJ$3=""),"",COUNTIFS(FINDINGS!$F$4:$F$203,$A12,FINDINGS!$B$4:$B$203,AJ$3))</x:f>
      </x:c>
      <x:c r="AK12" s="134" t="str">
        <x:f>IF(OR($A12="",AK$3=""),"",COUNTIFS(FINDINGS!$F$4:$F$203,$A12,FINDINGS!$B$4:$B$203,AK$3))</x:f>
      </x:c>
      <x:c r="AL12" s="134" t="str">
        <x:f>IF(OR($A12="",AL$3=""),"",COUNTIFS(FINDINGS!$F$4:$F$203,$A12,FINDINGS!$B$4:$B$203,AL$3))</x:f>
      </x:c>
      <x:c r="AM12" s="134" t="str">
        <x:f>IF(OR($A12="",AM$3=""),"",COUNTIFS(FINDINGS!$F$4:$F$203,$A12,FINDINGS!$B$4:$B$203,AM$3))</x:f>
      </x:c>
      <x:c r="AN12" s="134" t="str">
        <x:f>IF(OR($A12="",AN$3=""),"",COUNTIFS(FINDINGS!$F$4:$F$203,$A12,FINDINGS!$B$4:$B$203,AN$3))</x:f>
      </x:c>
      <x:c r="AO12" s="134" t="str">
        <x:f>IF(OR($A12="",AO$3=""),"",COUNTIFS(FINDINGS!$F$4:$F$203,$A12,FINDINGS!$B$4:$B$203,AO$3))</x:f>
      </x:c>
      <x:c r="AP12" s="134" t="str">
        <x:f>IF(OR($A12="",AP$3=""),"",COUNTIFS(FINDINGS!$F$4:$F$203,$A12,FINDINGS!$B$4:$B$203,AP$3))</x:f>
      </x:c>
      <x:c r="AQ12" s="134" t="str">
        <x:f>IF(OR($A12="",AQ$3=""),"",COUNTIFS(FINDINGS!$F$4:$F$203,$A12,FINDINGS!$B$4:$B$203,AQ$3))</x:f>
      </x:c>
      <x:c r="AR12" s="134" t="str">
        <x:f>IF(OR($A12="",AR$3=""),"",COUNTIFS(FINDINGS!$F$4:$F$203,$A12,FINDINGS!$B$4:$B$203,AR$3))</x:f>
      </x:c>
      <x:c r="AS12" s="134" t="str">
        <x:f>IF(OR($A12="",AS$3=""),"",COUNTIFS(FINDINGS!$F$4:$F$203,$A12,FINDINGS!$B$4:$B$203,AS$3))</x:f>
      </x:c>
    </x:row>
    <x:row r="13">
      <x:c r="A13" s="126" t="str">
        <x:f>IF(B13="","","C"&amp;TEXT(ROW()-3,"00"))</x:f>
      </x:c>
      <x:c r="B13" s="119"/>
      <x:c r="C13" s="119"/>
      <x:c r="D13" s="126" t="str">
        <x:f>IF(A13="","",COUNTIF(FINDINGS!$F$4:$F$203,A13))</x:f>
      </x:c>
      <x:c r="E13" s="126" t="str">
        <x:f>IF(A13="","",COUNTIF(P13:AS13,"&gt;0"))</x:f>
      </x:c>
      <x:c r="F13" s="126" t="str">
        <x:f>IF(A13="","",COUNTIFS(FINDINGS!$F$4:$F$203,A13,FINDINGS!$J$4:$J$203,"Supports"))</x:f>
      </x:c>
      <x:c r="G13" s="126" t="str">
        <x:f>IF(A13="","",COUNTIFS(FINDINGS!$F$4:$F$203,A13,FINDINGS!$J$4:$J$203,"Contradicts"))</x:f>
      </x:c>
      <x:c r="H13" s="126" t="str">
        <x:f>IF(A13="","",COUNTIFS(FINDINGS!$F$4:$F$203,A13,FINDINGS!$J$4:$J$203,"Complicates"))</x:f>
      </x:c>
      <x:c r="I13" s="126" t="str">
        <x:f>IF(A13="","",COUNTIFS(FINDINGS!$F$4:$F$203,A13,FINDINGS!$J$4:$J$203,"Context"))</x:f>
      </x:c>
      <x:c r="J13" s="126" t="str">
        <x:f>IF(A13="","",IF(OR(G13&gt;0,H13&gt;0),"Yes","No"))</x:f>
      </x:c>
      <x:c r="K13" s="126" t="str">
        <x:f>IF(A13="","",IF(E13=0,"NO EVIDENCE",IF(E13&lt;2,"THIN",IF(AND(F13&gt;0,G13=0,H13=0),"CHECK BALANCE","SYNTHESIS-READY"))))</x:f>
      </x:c>
      <x:c r="L13" s="126" t="str">
        <x:f>IF(A13="","",IF(OR(G13&gt;0,H13&gt;0),"Yes",IF(E13&lt;2,"Yes","Review")))</x:f>
      </x:c>
      <x:c r="M13" s="119"/>
      <x:c r="N13" s="119"/>
      <x:c r="O13" s="134"/>
      <x:c r="P13" s="134" t="str">
        <x:f>IF(OR($A13="",P$3=""),"",COUNTIFS(FINDINGS!$F$4:$F$203,$A13,FINDINGS!$B$4:$B$203,P$3))</x:f>
      </x:c>
      <x:c r="Q13" s="134" t="str">
        <x:f>IF(OR($A13="",Q$3=""),"",COUNTIFS(FINDINGS!$F$4:$F$203,$A13,FINDINGS!$B$4:$B$203,Q$3))</x:f>
      </x:c>
      <x:c r="R13" s="134" t="str">
        <x:f>IF(OR($A13="",R$3=""),"",COUNTIFS(FINDINGS!$F$4:$F$203,$A13,FINDINGS!$B$4:$B$203,R$3))</x:f>
      </x:c>
      <x:c r="S13" s="134" t="str">
        <x:f>IF(OR($A13="",S$3=""),"",COUNTIFS(FINDINGS!$F$4:$F$203,$A13,FINDINGS!$B$4:$B$203,S$3))</x:f>
      </x:c>
      <x:c r="T13" s="134" t="str">
        <x:f>IF(OR($A13="",T$3=""),"",COUNTIFS(FINDINGS!$F$4:$F$203,$A13,FINDINGS!$B$4:$B$203,T$3))</x:f>
      </x:c>
      <x:c r="U13" s="134" t="str">
        <x:f>IF(OR($A13="",U$3=""),"",COUNTIFS(FINDINGS!$F$4:$F$203,$A13,FINDINGS!$B$4:$B$203,U$3))</x:f>
      </x:c>
      <x:c r="V13" s="134" t="str">
        <x:f>IF(OR($A13="",V$3=""),"",COUNTIFS(FINDINGS!$F$4:$F$203,$A13,FINDINGS!$B$4:$B$203,V$3))</x:f>
      </x:c>
      <x:c r="W13" s="134" t="str">
        <x:f>IF(OR($A13="",W$3=""),"",COUNTIFS(FINDINGS!$F$4:$F$203,$A13,FINDINGS!$B$4:$B$203,W$3))</x:f>
      </x:c>
      <x:c r="X13" s="134" t="str">
        <x:f>IF(OR($A13="",X$3=""),"",COUNTIFS(FINDINGS!$F$4:$F$203,$A13,FINDINGS!$B$4:$B$203,X$3))</x:f>
      </x:c>
      <x:c r="Y13" s="134" t="str">
        <x:f>IF(OR($A13="",Y$3=""),"",COUNTIFS(FINDINGS!$F$4:$F$203,$A13,FINDINGS!$B$4:$B$203,Y$3))</x:f>
      </x:c>
      <x:c r="Z13" s="134" t="str">
        <x:f>IF(OR($A13="",Z$3=""),"",COUNTIFS(FINDINGS!$F$4:$F$203,$A13,FINDINGS!$B$4:$B$203,Z$3))</x:f>
      </x:c>
      <x:c r="AA13" s="134" t="str">
        <x:f>IF(OR($A13="",AA$3=""),"",COUNTIFS(FINDINGS!$F$4:$F$203,$A13,FINDINGS!$B$4:$B$203,AA$3))</x:f>
      </x:c>
      <x:c r="AB13" s="134" t="str">
        <x:f>IF(OR($A13="",AB$3=""),"",COUNTIFS(FINDINGS!$F$4:$F$203,$A13,FINDINGS!$B$4:$B$203,AB$3))</x:f>
      </x:c>
      <x:c r="AC13" s="134" t="str">
        <x:f>IF(OR($A13="",AC$3=""),"",COUNTIFS(FINDINGS!$F$4:$F$203,$A13,FINDINGS!$B$4:$B$203,AC$3))</x:f>
      </x:c>
      <x:c r="AD13" s="134" t="str">
        <x:f>IF(OR($A13="",AD$3=""),"",COUNTIFS(FINDINGS!$F$4:$F$203,$A13,FINDINGS!$B$4:$B$203,AD$3))</x:f>
      </x:c>
      <x:c r="AE13" s="134" t="str">
        <x:f>IF(OR($A13="",AE$3=""),"",COUNTIFS(FINDINGS!$F$4:$F$203,$A13,FINDINGS!$B$4:$B$203,AE$3))</x:f>
      </x:c>
      <x:c r="AF13" s="134" t="str">
        <x:f>IF(OR($A13="",AF$3=""),"",COUNTIFS(FINDINGS!$F$4:$F$203,$A13,FINDINGS!$B$4:$B$203,AF$3))</x:f>
      </x:c>
      <x:c r="AG13" s="134" t="str">
        <x:f>IF(OR($A13="",AG$3=""),"",COUNTIFS(FINDINGS!$F$4:$F$203,$A13,FINDINGS!$B$4:$B$203,AG$3))</x:f>
      </x:c>
      <x:c r="AH13" s="134" t="str">
        <x:f>IF(OR($A13="",AH$3=""),"",COUNTIFS(FINDINGS!$F$4:$F$203,$A13,FINDINGS!$B$4:$B$203,AH$3))</x:f>
      </x:c>
      <x:c r="AI13" s="134" t="str">
        <x:f>IF(OR($A13="",AI$3=""),"",COUNTIFS(FINDINGS!$F$4:$F$203,$A13,FINDINGS!$B$4:$B$203,AI$3))</x:f>
      </x:c>
      <x:c r="AJ13" s="134" t="str">
        <x:f>IF(OR($A13="",AJ$3=""),"",COUNTIFS(FINDINGS!$F$4:$F$203,$A13,FINDINGS!$B$4:$B$203,AJ$3))</x:f>
      </x:c>
      <x:c r="AK13" s="134" t="str">
        <x:f>IF(OR($A13="",AK$3=""),"",COUNTIFS(FINDINGS!$F$4:$F$203,$A13,FINDINGS!$B$4:$B$203,AK$3))</x:f>
      </x:c>
      <x:c r="AL13" s="134" t="str">
        <x:f>IF(OR($A13="",AL$3=""),"",COUNTIFS(FINDINGS!$F$4:$F$203,$A13,FINDINGS!$B$4:$B$203,AL$3))</x:f>
      </x:c>
      <x:c r="AM13" s="134" t="str">
        <x:f>IF(OR($A13="",AM$3=""),"",COUNTIFS(FINDINGS!$F$4:$F$203,$A13,FINDINGS!$B$4:$B$203,AM$3))</x:f>
      </x:c>
      <x:c r="AN13" s="134" t="str">
        <x:f>IF(OR($A13="",AN$3=""),"",COUNTIFS(FINDINGS!$F$4:$F$203,$A13,FINDINGS!$B$4:$B$203,AN$3))</x:f>
      </x:c>
      <x:c r="AO13" s="134" t="str">
        <x:f>IF(OR($A13="",AO$3=""),"",COUNTIFS(FINDINGS!$F$4:$F$203,$A13,FINDINGS!$B$4:$B$203,AO$3))</x:f>
      </x:c>
      <x:c r="AP13" s="134" t="str">
        <x:f>IF(OR($A13="",AP$3=""),"",COUNTIFS(FINDINGS!$F$4:$F$203,$A13,FINDINGS!$B$4:$B$203,AP$3))</x:f>
      </x:c>
      <x:c r="AQ13" s="134" t="str">
        <x:f>IF(OR($A13="",AQ$3=""),"",COUNTIFS(FINDINGS!$F$4:$F$203,$A13,FINDINGS!$B$4:$B$203,AQ$3))</x:f>
      </x:c>
      <x:c r="AR13" s="134" t="str">
        <x:f>IF(OR($A13="",AR$3=""),"",COUNTIFS(FINDINGS!$F$4:$F$203,$A13,FINDINGS!$B$4:$B$203,AR$3))</x:f>
      </x:c>
      <x:c r="AS13" s="134" t="str">
        <x:f>IF(OR($A13="",AS$3=""),"",COUNTIFS(FINDINGS!$F$4:$F$203,$A13,FINDINGS!$B$4:$B$203,AS$3))</x:f>
      </x:c>
    </x:row>
    <x:row r="14">
      <x:c r="A14" s="126" t="str">
        <x:f>IF(B14="","","C"&amp;TEXT(ROW()-3,"00"))</x:f>
      </x:c>
      <x:c r="B14" s="119"/>
      <x:c r="C14" s="119"/>
      <x:c r="D14" s="126" t="str">
        <x:f>IF(A14="","",COUNTIF(FINDINGS!$F$4:$F$203,A14))</x:f>
      </x:c>
      <x:c r="E14" s="126" t="str">
        <x:f>IF(A14="","",COUNTIF(P14:AS14,"&gt;0"))</x:f>
      </x:c>
      <x:c r="F14" s="126" t="str">
        <x:f>IF(A14="","",COUNTIFS(FINDINGS!$F$4:$F$203,A14,FINDINGS!$J$4:$J$203,"Supports"))</x:f>
      </x:c>
      <x:c r="G14" s="126" t="str">
        <x:f>IF(A14="","",COUNTIFS(FINDINGS!$F$4:$F$203,A14,FINDINGS!$J$4:$J$203,"Contradicts"))</x:f>
      </x:c>
      <x:c r="H14" s="126" t="str">
        <x:f>IF(A14="","",COUNTIFS(FINDINGS!$F$4:$F$203,A14,FINDINGS!$J$4:$J$203,"Complicates"))</x:f>
      </x:c>
      <x:c r="I14" s="126" t="str">
        <x:f>IF(A14="","",COUNTIFS(FINDINGS!$F$4:$F$203,A14,FINDINGS!$J$4:$J$203,"Context"))</x:f>
      </x:c>
      <x:c r="J14" s="126" t="str">
        <x:f>IF(A14="","",IF(OR(G14&gt;0,H14&gt;0),"Yes","No"))</x:f>
      </x:c>
      <x:c r="K14" s="126" t="str">
        <x:f>IF(A14="","",IF(E14=0,"NO EVIDENCE",IF(E14&lt;2,"THIN",IF(AND(F14&gt;0,G14=0,H14=0),"CHECK BALANCE","SYNTHESIS-READY"))))</x:f>
      </x:c>
      <x:c r="L14" s="126" t="str">
        <x:f>IF(A14="","",IF(OR(G14&gt;0,H14&gt;0),"Yes",IF(E14&lt;2,"Yes","Review")))</x:f>
      </x:c>
      <x:c r="M14" s="119"/>
      <x:c r="N14" s="119"/>
      <x:c r="O14" s="134"/>
      <x:c r="P14" s="134" t="str">
        <x:f>IF(OR($A14="",P$3=""),"",COUNTIFS(FINDINGS!$F$4:$F$203,$A14,FINDINGS!$B$4:$B$203,P$3))</x:f>
      </x:c>
      <x:c r="Q14" s="134" t="str">
        <x:f>IF(OR($A14="",Q$3=""),"",COUNTIFS(FINDINGS!$F$4:$F$203,$A14,FINDINGS!$B$4:$B$203,Q$3))</x:f>
      </x:c>
      <x:c r="R14" s="134" t="str">
        <x:f>IF(OR($A14="",R$3=""),"",COUNTIFS(FINDINGS!$F$4:$F$203,$A14,FINDINGS!$B$4:$B$203,R$3))</x:f>
      </x:c>
      <x:c r="S14" s="134" t="str">
        <x:f>IF(OR($A14="",S$3=""),"",COUNTIFS(FINDINGS!$F$4:$F$203,$A14,FINDINGS!$B$4:$B$203,S$3))</x:f>
      </x:c>
      <x:c r="T14" s="134" t="str">
        <x:f>IF(OR($A14="",T$3=""),"",COUNTIFS(FINDINGS!$F$4:$F$203,$A14,FINDINGS!$B$4:$B$203,T$3))</x:f>
      </x:c>
      <x:c r="U14" s="134" t="str">
        <x:f>IF(OR($A14="",U$3=""),"",COUNTIFS(FINDINGS!$F$4:$F$203,$A14,FINDINGS!$B$4:$B$203,U$3))</x:f>
      </x:c>
      <x:c r="V14" s="134" t="str">
        <x:f>IF(OR($A14="",V$3=""),"",COUNTIFS(FINDINGS!$F$4:$F$203,$A14,FINDINGS!$B$4:$B$203,V$3))</x:f>
      </x:c>
      <x:c r="W14" s="134" t="str">
        <x:f>IF(OR($A14="",W$3=""),"",COUNTIFS(FINDINGS!$F$4:$F$203,$A14,FINDINGS!$B$4:$B$203,W$3))</x:f>
      </x:c>
      <x:c r="X14" s="134" t="str">
        <x:f>IF(OR($A14="",X$3=""),"",COUNTIFS(FINDINGS!$F$4:$F$203,$A14,FINDINGS!$B$4:$B$203,X$3))</x:f>
      </x:c>
      <x:c r="Y14" s="134" t="str">
        <x:f>IF(OR($A14="",Y$3=""),"",COUNTIFS(FINDINGS!$F$4:$F$203,$A14,FINDINGS!$B$4:$B$203,Y$3))</x:f>
      </x:c>
      <x:c r="Z14" s="134" t="str">
        <x:f>IF(OR($A14="",Z$3=""),"",COUNTIFS(FINDINGS!$F$4:$F$203,$A14,FINDINGS!$B$4:$B$203,Z$3))</x:f>
      </x:c>
      <x:c r="AA14" s="134" t="str">
        <x:f>IF(OR($A14="",AA$3=""),"",COUNTIFS(FINDINGS!$F$4:$F$203,$A14,FINDINGS!$B$4:$B$203,AA$3))</x:f>
      </x:c>
      <x:c r="AB14" s="134" t="str">
        <x:f>IF(OR($A14="",AB$3=""),"",COUNTIFS(FINDINGS!$F$4:$F$203,$A14,FINDINGS!$B$4:$B$203,AB$3))</x:f>
      </x:c>
      <x:c r="AC14" s="134" t="str">
        <x:f>IF(OR($A14="",AC$3=""),"",COUNTIFS(FINDINGS!$F$4:$F$203,$A14,FINDINGS!$B$4:$B$203,AC$3))</x:f>
      </x:c>
      <x:c r="AD14" s="134" t="str">
        <x:f>IF(OR($A14="",AD$3=""),"",COUNTIFS(FINDINGS!$F$4:$F$203,$A14,FINDINGS!$B$4:$B$203,AD$3))</x:f>
      </x:c>
      <x:c r="AE14" s="134" t="str">
        <x:f>IF(OR($A14="",AE$3=""),"",COUNTIFS(FINDINGS!$F$4:$F$203,$A14,FINDINGS!$B$4:$B$203,AE$3))</x:f>
      </x:c>
      <x:c r="AF14" s="134" t="str">
        <x:f>IF(OR($A14="",AF$3=""),"",COUNTIFS(FINDINGS!$F$4:$F$203,$A14,FINDINGS!$B$4:$B$203,AF$3))</x:f>
      </x:c>
      <x:c r="AG14" s="134" t="str">
        <x:f>IF(OR($A14="",AG$3=""),"",COUNTIFS(FINDINGS!$F$4:$F$203,$A14,FINDINGS!$B$4:$B$203,AG$3))</x:f>
      </x:c>
      <x:c r="AH14" s="134" t="str">
        <x:f>IF(OR($A14="",AH$3=""),"",COUNTIFS(FINDINGS!$F$4:$F$203,$A14,FINDINGS!$B$4:$B$203,AH$3))</x:f>
      </x:c>
      <x:c r="AI14" s="134" t="str">
        <x:f>IF(OR($A14="",AI$3=""),"",COUNTIFS(FINDINGS!$F$4:$F$203,$A14,FINDINGS!$B$4:$B$203,AI$3))</x:f>
      </x:c>
      <x:c r="AJ14" s="134" t="str">
        <x:f>IF(OR($A14="",AJ$3=""),"",COUNTIFS(FINDINGS!$F$4:$F$203,$A14,FINDINGS!$B$4:$B$203,AJ$3))</x:f>
      </x:c>
      <x:c r="AK14" s="134" t="str">
        <x:f>IF(OR($A14="",AK$3=""),"",COUNTIFS(FINDINGS!$F$4:$F$203,$A14,FINDINGS!$B$4:$B$203,AK$3))</x:f>
      </x:c>
      <x:c r="AL14" s="134" t="str">
        <x:f>IF(OR($A14="",AL$3=""),"",COUNTIFS(FINDINGS!$F$4:$F$203,$A14,FINDINGS!$B$4:$B$203,AL$3))</x:f>
      </x:c>
      <x:c r="AM14" s="134" t="str">
        <x:f>IF(OR($A14="",AM$3=""),"",COUNTIFS(FINDINGS!$F$4:$F$203,$A14,FINDINGS!$B$4:$B$203,AM$3))</x:f>
      </x:c>
      <x:c r="AN14" s="134" t="str">
        <x:f>IF(OR($A14="",AN$3=""),"",COUNTIFS(FINDINGS!$F$4:$F$203,$A14,FINDINGS!$B$4:$B$203,AN$3))</x:f>
      </x:c>
      <x:c r="AO14" s="134" t="str">
        <x:f>IF(OR($A14="",AO$3=""),"",COUNTIFS(FINDINGS!$F$4:$F$203,$A14,FINDINGS!$B$4:$B$203,AO$3))</x:f>
      </x:c>
      <x:c r="AP14" s="134" t="str">
        <x:f>IF(OR($A14="",AP$3=""),"",COUNTIFS(FINDINGS!$F$4:$F$203,$A14,FINDINGS!$B$4:$B$203,AP$3))</x:f>
      </x:c>
      <x:c r="AQ14" s="134" t="str">
        <x:f>IF(OR($A14="",AQ$3=""),"",COUNTIFS(FINDINGS!$F$4:$F$203,$A14,FINDINGS!$B$4:$B$203,AQ$3))</x:f>
      </x:c>
      <x:c r="AR14" s="134" t="str">
        <x:f>IF(OR($A14="",AR$3=""),"",COUNTIFS(FINDINGS!$F$4:$F$203,$A14,FINDINGS!$B$4:$B$203,AR$3))</x:f>
      </x:c>
      <x:c r="AS14" s="134" t="str">
        <x:f>IF(OR($A14="",AS$3=""),"",COUNTIFS(FINDINGS!$F$4:$F$203,$A14,FINDINGS!$B$4:$B$203,AS$3))</x:f>
      </x:c>
    </x:row>
    <x:row r="15">
      <x:c r="A15" s="126" t="str">
        <x:f>IF(B15="","","C"&amp;TEXT(ROW()-3,"00"))</x:f>
      </x:c>
      <x:c r="B15" s="119"/>
      <x:c r="C15" s="119"/>
      <x:c r="D15" s="126" t="str">
        <x:f>IF(A15="","",COUNTIF(FINDINGS!$F$4:$F$203,A15))</x:f>
      </x:c>
      <x:c r="E15" s="126" t="str">
        <x:f>IF(A15="","",COUNTIF(P15:AS15,"&gt;0"))</x:f>
      </x:c>
      <x:c r="F15" s="126" t="str">
        <x:f>IF(A15="","",COUNTIFS(FINDINGS!$F$4:$F$203,A15,FINDINGS!$J$4:$J$203,"Supports"))</x:f>
      </x:c>
      <x:c r="G15" s="126" t="str">
        <x:f>IF(A15="","",COUNTIFS(FINDINGS!$F$4:$F$203,A15,FINDINGS!$J$4:$J$203,"Contradicts"))</x:f>
      </x:c>
      <x:c r="H15" s="126" t="str">
        <x:f>IF(A15="","",COUNTIFS(FINDINGS!$F$4:$F$203,A15,FINDINGS!$J$4:$J$203,"Complicates"))</x:f>
      </x:c>
      <x:c r="I15" s="126" t="str">
        <x:f>IF(A15="","",COUNTIFS(FINDINGS!$F$4:$F$203,A15,FINDINGS!$J$4:$J$203,"Context"))</x:f>
      </x:c>
      <x:c r="J15" s="126" t="str">
        <x:f>IF(A15="","",IF(OR(G15&gt;0,H15&gt;0),"Yes","No"))</x:f>
      </x:c>
      <x:c r="K15" s="126" t="str">
        <x:f>IF(A15="","",IF(E15=0,"NO EVIDENCE",IF(E15&lt;2,"THIN",IF(AND(F15&gt;0,G15=0,H15=0),"CHECK BALANCE","SYNTHESIS-READY"))))</x:f>
      </x:c>
      <x:c r="L15" s="126" t="str">
        <x:f>IF(A15="","",IF(OR(G15&gt;0,H15&gt;0),"Yes",IF(E15&lt;2,"Yes","Review")))</x:f>
      </x:c>
      <x:c r="M15" s="119"/>
      <x:c r="N15" s="119"/>
      <x:c r="O15" s="134"/>
      <x:c r="P15" s="134" t="str">
        <x:f>IF(OR($A15="",P$3=""),"",COUNTIFS(FINDINGS!$F$4:$F$203,$A15,FINDINGS!$B$4:$B$203,P$3))</x:f>
      </x:c>
      <x:c r="Q15" s="134" t="str">
        <x:f>IF(OR($A15="",Q$3=""),"",COUNTIFS(FINDINGS!$F$4:$F$203,$A15,FINDINGS!$B$4:$B$203,Q$3))</x:f>
      </x:c>
      <x:c r="R15" s="134" t="str">
        <x:f>IF(OR($A15="",R$3=""),"",COUNTIFS(FINDINGS!$F$4:$F$203,$A15,FINDINGS!$B$4:$B$203,R$3))</x:f>
      </x:c>
      <x:c r="S15" s="134" t="str">
        <x:f>IF(OR($A15="",S$3=""),"",COUNTIFS(FINDINGS!$F$4:$F$203,$A15,FINDINGS!$B$4:$B$203,S$3))</x:f>
      </x:c>
      <x:c r="T15" s="134" t="str">
        <x:f>IF(OR($A15="",T$3=""),"",COUNTIFS(FINDINGS!$F$4:$F$203,$A15,FINDINGS!$B$4:$B$203,T$3))</x:f>
      </x:c>
      <x:c r="U15" s="134" t="str">
        <x:f>IF(OR($A15="",U$3=""),"",COUNTIFS(FINDINGS!$F$4:$F$203,$A15,FINDINGS!$B$4:$B$203,U$3))</x:f>
      </x:c>
      <x:c r="V15" s="134" t="str">
        <x:f>IF(OR($A15="",V$3=""),"",COUNTIFS(FINDINGS!$F$4:$F$203,$A15,FINDINGS!$B$4:$B$203,V$3))</x:f>
      </x:c>
      <x:c r="W15" s="134" t="str">
        <x:f>IF(OR($A15="",W$3=""),"",COUNTIFS(FINDINGS!$F$4:$F$203,$A15,FINDINGS!$B$4:$B$203,W$3))</x:f>
      </x:c>
      <x:c r="X15" s="134" t="str">
        <x:f>IF(OR($A15="",X$3=""),"",COUNTIFS(FINDINGS!$F$4:$F$203,$A15,FINDINGS!$B$4:$B$203,X$3))</x:f>
      </x:c>
      <x:c r="Y15" s="134" t="str">
        <x:f>IF(OR($A15="",Y$3=""),"",COUNTIFS(FINDINGS!$F$4:$F$203,$A15,FINDINGS!$B$4:$B$203,Y$3))</x:f>
      </x:c>
      <x:c r="Z15" s="134" t="str">
        <x:f>IF(OR($A15="",Z$3=""),"",COUNTIFS(FINDINGS!$F$4:$F$203,$A15,FINDINGS!$B$4:$B$203,Z$3))</x:f>
      </x:c>
      <x:c r="AA15" s="134" t="str">
        <x:f>IF(OR($A15="",AA$3=""),"",COUNTIFS(FINDINGS!$F$4:$F$203,$A15,FINDINGS!$B$4:$B$203,AA$3))</x:f>
      </x:c>
      <x:c r="AB15" s="134" t="str">
        <x:f>IF(OR($A15="",AB$3=""),"",COUNTIFS(FINDINGS!$F$4:$F$203,$A15,FINDINGS!$B$4:$B$203,AB$3))</x:f>
      </x:c>
      <x:c r="AC15" s="134" t="str">
        <x:f>IF(OR($A15="",AC$3=""),"",COUNTIFS(FINDINGS!$F$4:$F$203,$A15,FINDINGS!$B$4:$B$203,AC$3))</x:f>
      </x:c>
      <x:c r="AD15" s="134" t="str">
        <x:f>IF(OR($A15="",AD$3=""),"",COUNTIFS(FINDINGS!$F$4:$F$203,$A15,FINDINGS!$B$4:$B$203,AD$3))</x:f>
      </x:c>
      <x:c r="AE15" s="134" t="str">
        <x:f>IF(OR($A15="",AE$3=""),"",COUNTIFS(FINDINGS!$F$4:$F$203,$A15,FINDINGS!$B$4:$B$203,AE$3))</x:f>
      </x:c>
      <x:c r="AF15" s="134" t="str">
        <x:f>IF(OR($A15="",AF$3=""),"",COUNTIFS(FINDINGS!$F$4:$F$203,$A15,FINDINGS!$B$4:$B$203,AF$3))</x:f>
      </x:c>
      <x:c r="AG15" s="134" t="str">
        <x:f>IF(OR($A15="",AG$3=""),"",COUNTIFS(FINDINGS!$F$4:$F$203,$A15,FINDINGS!$B$4:$B$203,AG$3))</x:f>
      </x:c>
      <x:c r="AH15" s="134" t="str">
        <x:f>IF(OR($A15="",AH$3=""),"",COUNTIFS(FINDINGS!$F$4:$F$203,$A15,FINDINGS!$B$4:$B$203,AH$3))</x:f>
      </x:c>
      <x:c r="AI15" s="134" t="str">
        <x:f>IF(OR($A15="",AI$3=""),"",COUNTIFS(FINDINGS!$F$4:$F$203,$A15,FINDINGS!$B$4:$B$203,AI$3))</x:f>
      </x:c>
      <x:c r="AJ15" s="134" t="str">
        <x:f>IF(OR($A15="",AJ$3=""),"",COUNTIFS(FINDINGS!$F$4:$F$203,$A15,FINDINGS!$B$4:$B$203,AJ$3))</x:f>
      </x:c>
      <x:c r="AK15" s="134" t="str">
        <x:f>IF(OR($A15="",AK$3=""),"",COUNTIFS(FINDINGS!$F$4:$F$203,$A15,FINDINGS!$B$4:$B$203,AK$3))</x:f>
      </x:c>
      <x:c r="AL15" s="134" t="str">
        <x:f>IF(OR($A15="",AL$3=""),"",COUNTIFS(FINDINGS!$F$4:$F$203,$A15,FINDINGS!$B$4:$B$203,AL$3))</x:f>
      </x:c>
      <x:c r="AM15" s="134" t="str">
        <x:f>IF(OR($A15="",AM$3=""),"",COUNTIFS(FINDINGS!$F$4:$F$203,$A15,FINDINGS!$B$4:$B$203,AM$3))</x:f>
      </x:c>
      <x:c r="AN15" s="134" t="str">
        <x:f>IF(OR($A15="",AN$3=""),"",COUNTIFS(FINDINGS!$F$4:$F$203,$A15,FINDINGS!$B$4:$B$203,AN$3))</x:f>
      </x:c>
      <x:c r="AO15" s="134" t="str">
        <x:f>IF(OR($A15="",AO$3=""),"",COUNTIFS(FINDINGS!$F$4:$F$203,$A15,FINDINGS!$B$4:$B$203,AO$3))</x:f>
      </x:c>
      <x:c r="AP15" s="134" t="str">
        <x:f>IF(OR($A15="",AP$3=""),"",COUNTIFS(FINDINGS!$F$4:$F$203,$A15,FINDINGS!$B$4:$B$203,AP$3))</x:f>
      </x:c>
      <x:c r="AQ15" s="134" t="str">
        <x:f>IF(OR($A15="",AQ$3=""),"",COUNTIFS(FINDINGS!$F$4:$F$203,$A15,FINDINGS!$B$4:$B$203,AQ$3))</x:f>
      </x:c>
      <x:c r="AR15" s="134" t="str">
        <x:f>IF(OR($A15="",AR$3=""),"",COUNTIFS(FINDINGS!$F$4:$F$203,$A15,FINDINGS!$B$4:$B$203,AR$3))</x:f>
      </x:c>
      <x:c r="AS15" s="134" t="str">
        <x:f>IF(OR($A15="",AS$3=""),"",COUNTIFS(FINDINGS!$F$4:$F$203,$A15,FINDINGS!$B$4:$B$203,AS$3))</x:f>
      </x:c>
    </x:row>
    <x:row r="16">
      <x:c r="A16" s="126" t="str">
        <x:f>IF(B16="","","C"&amp;TEXT(ROW()-3,"00"))</x:f>
      </x:c>
      <x:c r="B16" s="119"/>
      <x:c r="C16" s="119"/>
      <x:c r="D16" s="126" t="str">
        <x:f>IF(A16="","",COUNTIF(FINDINGS!$F$4:$F$203,A16))</x:f>
      </x:c>
      <x:c r="E16" s="126" t="str">
        <x:f>IF(A16="","",COUNTIF(P16:AS16,"&gt;0"))</x:f>
      </x:c>
      <x:c r="F16" s="126" t="str">
        <x:f>IF(A16="","",COUNTIFS(FINDINGS!$F$4:$F$203,A16,FINDINGS!$J$4:$J$203,"Supports"))</x:f>
      </x:c>
      <x:c r="G16" s="126" t="str">
        <x:f>IF(A16="","",COUNTIFS(FINDINGS!$F$4:$F$203,A16,FINDINGS!$J$4:$J$203,"Contradicts"))</x:f>
      </x:c>
      <x:c r="H16" s="126" t="str">
        <x:f>IF(A16="","",COUNTIFS(FINDINGS!$F$4:$F$203,A16,FINDINGS!$J$4:$J$203,"Complicates"))</x:f>
      </x:c>
      <x:c r="I16" s="126" t="str">
        <x:f>IF(A16="","",COUNTIFS(FINDINGS!$F$4:$F$203,A16,FINDINGS!$J$4:$J$203,"Context"))</x:f>
      </x:c>
      <x:c r="J16" s="126" t="str">
        <x:f>IF(A16="","",IF(OR(G16&gt;0,H16&gt;0),"Yes","No"))</x:f>
      </x:c>
      <x:c r="K16" s="126" t="str">
        <x:f>IF(A16="","",IF(E16=0,"NO EVIDENCE",IF(E16&lt;2,"THIN",IF(AND(F16&gt;0,G16=0,H16=0),"CHECK BALANCE","SYNTHESIS-READY"))))</x:f>
      </x:c>
      <x:c r="L16" s="126" t="str">
        <x:f>IF(A16="","",IF(OR(G16&gt;0,H16&gt;0),"Yes",IF(E16&lt;2,"Yes","Review")))</x:f>
      </x:c>
      <x:c r="M16" s="119"/>
      <x:c r="N16" s="119"/>
      <x:c r="O16" s="134"/>
      <x:c r="P16" s="134" t="str">
        <x:f>IF(OR($A16="",P$3=""),"",COUNTIFS(FINDINGS!$F$4:$F$203,$A16,FINDINGS!$B$4:$B$203,P$3))</x:f>
      </x:c>
      <x:c r="Q16" s="134" t="str">
        <x:f>IF(OR($A16="",Q$3=""),"",COUNTIFS(FINDINGS!$F$4:$F$203,$A16,FINDINGS!$B$4:$B$203,Q$3))</x:f>
      </x:c>
      <x:c r="R16" s="134" t="str">
        <x:f>IF(OR($A16="",R$3=""),"",COUNTIFS(FINDINGS!$F$4:$F$203,$A16,FINDINGS!$B$4:$B$203,R$3))</x:f>
      </x:c>
      <x:c r="S16" s="134" t="str">
        <x:f>IF(OR($A16="",S$3=""),"",COUNTIFS(FINDINGS!$F$4:$F$203,$A16,FINDINGS!$B$4:$B$203,S$3))</x:f>
      </x:c>
      <x:c r="T16" s="134" t="str">
        <x:f>IF(OR($A16="",T$3=""),"",COUNTIFS(FINDINGS!$F$4:$F$203,$A16,FINDINGS!$B$4:$B$203,T$3))</x:f>
      </x:c>
      <x:c r="U16" s="134" t="str">
        <x:f>IF(OR($A16="",U$3=""),"",COUNTIFS(FINDINGS!$F$4:$F$203,$A16,FINDINGS!$B$4:$B$203,U$3))</x:f>
      </x:c>
      <x:c r="V16" s="134" t="str">
        <x:f>IF(OR($A16="",V$3=""),"",COUNTIFS(FINDINGS!$F$4:$F$203,$A16,FINDINGS!$B$4:$B$203,V$3))</x:f>
      </x:c>
      <x:c r="W16" s="134" t="str">
        <x:f>IF(OR($A16="",W$3=""),"",COUNTIFS(FINDINGS!$F$4:$F$203,$A16,FINDINGS!$B$4:$B$203,W$3))</x:f>
      </x:c>
      <x:c r="X16" s="134" t="str">
        <x:f>IF(OR($A16="",X$3=""),"",COUNTIFS(FINDINGS!$F$4:$F$203,$A16,FINDINGS!$B$4:$B$203,X$3))</x:f>
      </x:c>
      <x:c r="Y16" s="134" t="str">
        <x:f>IF(OR($A16="",Y$3=""),"",COUNTIFS(FINDINGS!$F$4:$F$203,$A16,FINDINGS!$B$4:$B$203,Y$3))</x:f>
      </x:c>
      <x:c r="Z16" s="134" t="str">
        <x:f>IF(OR($A16="",Z$3=""),"",COUNTIFS(FINDINGS!$F$4:$F$203,$A16,FINDINGS!$B$4:$B$203,Z$3))</x:f>
      </x:c>
      <x:c r="AA16" s="134" t="str">
        <x:f>IF(OR($A16="",AA$3=""),"",COUNTIFS(FINDINGS!$F$4:$F$203,$A16,FINDINGS!$B$4:$B$203,AA$3))</x:f>
      </x:c>
      <x:c r="AB16" s="134" t="str">
        <x:f>IF(OR($A16="",AB$3=""),"",COUNTIFS(FINDINGS!$F$4:$F$203,$A16,FINDINGS!$B$4:$B$203,AB$3))</x:f>
      </x:c>
      <x:c r="AC16" s="134" t="str">
        <x:f>IF(OR($A16="",AC$3=""),"",COUNTIFS(FINDINGS!$F$4:$F$203,$A16,FINDINGS!$B$4:$B$203,AC$3))</x:f>
      </x:c>
      <x:c r="AD16" s="134" t="str">
        <x:f>IF(OR($A16="",AD$3=""),"",COUNTIFS(FINDINGS!$F$4:$F$203,$A16,FINDINGS!$B$4:$B$203,AD$3))</x:f>
      </x:c>
      <x:c r="AE16" s="134" t="str">
        <x:f>IF(OR($A16="",AE$3=""),"",COUNTIFS(FINDINGS!$F$4:$F$203,$A16,FINDINGS!$B$4:$B$203,AE$3))</x:f>
      </x:c>
      <x:c r="AF16" s="134" t="str">
        <x:f>IF(OR($A16="",AF$3=""),"",COUNTIFS(FINDINGS!$F$4:$F$203,$A16,FINDINGS!$B$4:$B$203,AF$3))</x:f>
      </x:c>
      <x:c r="AG16" s="134" t="str">
        <x:f>IF(OR($A16="",AG$3=""),"",COUNTIFS(FINDINGS!$F$4:$F$203,$A16,FINDINGS!$B$4:$B$203,AG$3))</x:f>
      </x:c>
      <x:c r="AH16" s="134" t="str">
        <x:f>IF(OR($A16="",AH$3=""),"",COUNTIFS(FINDINGS!$F$4:$F$203,$A16,FINDINGS!$B$4:$B$203,AH$3))</x:f>
      </x:c>
      <x:c r="AI16" s="134" t="str">
        <x:f>IF(OR($A16="",AI$3=""),"",COUNTIFS(FINDINGS!$F$4:$F$203,$A16,FINDINGS!$B$4:$B$203,AI$3))</x:f>
      </x:c>
      <x:c r="AJ16" s="134" t="str">
        <x:f>IF(OR($A16="",AJ$3=""),"",COUNTIFS(FINDINGS!$F$4:$F$203,$A16,FINDINGS!$B$4:$B$203,AJ$3))</x:f>
      </x:c>
      <x:c r="AK16" s="134" t="str">
        <x:f>IF(OR($A16="",AK$3=""),"",COUNTIFS(FINDINGS!$F$4:$F$203,$A16,FINDINGS!$B$4:$B$203,AK$3))</x:f>
      </x:c>
      <x:c r="AL16" s="134" t="str">
        <x:f>IF(OR($A16="",AL$3=""),"",COUNTIFS(FINDINGS!$F$4:$F$203,$A16,FINDINGS!$B$4:$B$203,AL$3))</x:f>
      </x:c>
      <x:c r="AM16" s="134" t="str">
        <x:f>IF(OR($A16="",AM$3=""),"",COUNTIFS(FINDINGS!$F$4:$F$203,$A16,FINDINGS!$B$4:$B$203,AM$3))</x:f>
      </x:c>
      <x:c r="AN16" s="134" t="str">
        <x:f>IF(OR($A16="",AN$3=""),"",COUNTIFS(FINDINGS!$F$4:$F$203,$A16,FINDINGS!$B$4:$B$203,AN$3))</x:f>
      </x:c>
      <x:c r="AO16" s="134" t="str">
        <x:f>IF(OR($A16="",AO$3=""),"",COUNTIFS(FINDINGS!$F$4:$F$203,$A16,FINDINGS!$B$4:$B$203,AO$3))</x:f>
      </x:c>
      <x:c r="AP16" s="134" t="str">
        <x:f>IF(OR($A16="",AP$3=""),"",COUNTIFS(FINDINGS!$F$4:$F$203,$A16,FINDINGS!$B$4:$B$203,AP$3))</x:f>
      </x:c>
      <x:c r="AQ16" s="134" t="str">
        <x:f>IF(OR($A16="",AQ$3=""),"",COUNTIFS(FINDINGS!$F$4:$F$203,$A16,FINDINGS!$B$4:$B$203,AQ$3))</x:f>
      </x:c>
      <x:c r="AR16" s="134" t="str">
        <x:f>IF(OR($A16="",AR$3=""),"",COUNTIFS(FINDINGS!$F$4:$F$203,$A16,FINDINGS!$B$4:$B$203,AR$3))</x:f>
      </x:c>
      <x:c r="AS16" s="134" t="str">
        <x:f>IF(OR($A16="",AS$3=""),"",COUNTIFS(FINDINGS!$F$4:$F$203,$A16,FINDINGS!$B$4:$B$203,AS$3))</x:f>
      </x:c>
    </x:row>
    <x:row r="17">
      <x:c r="A17" s="126" t="str">
        <x:f>IF(B17="","","C"&amp;TEXT(ROW()-3,"00"))</x:f>
      </x:c>
      <x:c r="B17" s="119"/>
      <x:c r="C17" s="119"/>
      <x:c r="D17" s="126" t="str">
        <x:f>IF(A17="","",COUNTIF(FINDINGS!$F$4:$F$203,A17))</x:f>
      </x:c>
      <x:c r="E17" s="126" t="str">
        <x:f>IF(A17="","",COUNTIF(P17:AS17,"&gt;0"))</x:f>
      </x:c>
      <x:c r="F17" s="126" t="str">
        <x:f>IF(A17="","",COUNTIFS(FINDINGS!$F$4:$F$203,A17,FINDINGS!$J$4:$J$203,"Supports"))</x:f>
      </x:c>
      <x:c r="G17" s="126" t="str">
        <x:f>IF(A17="","",COUNTIFS(FINDINGS!$F$4:$F$203,A17,FINDINGS!$J$4:$J$203,"Contradicts"))</x:f>
      </x:c>
      <x:c r="H17" s="126" t="str">
        <x:f>IF(A17="","",COUNTIFS(FINDINGS!$F$4:$F$203,A17,FINDINGS!$J$4:$J$203,"Complicates"))</x:f>
      </x:c>
      <x:c r="I17" s="126" t="str">
        <x:f>IF(A17="","",COUNTIFS(FINDINGS!$F$4:$F$203,A17,FINDINGS!$J$4:$J$203,"Context"))</x:f>
      </x:c>
      <x:c r="J17" s="126" t="str">
        <x:f>IF(A17="","",IF(OR(G17&gt;0,H17&gt;0),"Yes","No"))</x:f>
      </x:c>
      <x:c r="K17" s="126" t="str">
        <x:f>IF(A17="","",IF(E17=0,"NO EVIDENCE",IF(E17&lt;2,"THIN",IF(AND(F17&gt;0,G17=0,H17=0),"CHECK BALANCE","SYNTHESIS-READY"))))</x:f>
      </x:c>
      <x:c r="L17" s="126" t="str">
        <x:f>IF(A17="","",IF(OR(G17&gt;0,H17&gt;0),"Yes",IF(E17&lt;2,"Yes","Review")))</x:f>
      </x:c>
      <x:c r="M17" s="119"/>
      <x:c r="N17" s="119"/>
      <x:c r="O17" s="134"/>
      <x:c r="P17" s="134" t="str">
        <x:f>IF(OR($A17="",P$3=""),"",COUNTIFS(FINDINGS!$F$4:$F$203,$A17,FINDINGS!$B$4:$B$203,P$3))</x:f>
      </x:c>
      <x:c r="Q17" s="134" t="str">
        <x:f>IF(OR($A17="",Q$3=""),"",COUNTIFS(FINDINGS!$F$4:$F$203,$A17,FINDINGS!$B$4:$B$203,Q$3))</x:f>
      </x:c>
      <x:c r="R17" s="134" t="str">
        <x:f>IF(OR($A17="",R$3=""),"",COUNTIFS(FINDINGS!$F$4:$F$203,$A17,FINDINGS!$B$4:$B$203,R$3))</x:f>
      </x:c>
      <x:c r="S17" s="134" t="str">
        <x:f>IF(OR($A17="",S$3=""),"",COUNTIFS(FINDINGS!$F$4:$F$203,$A17,FINDINGS!$B$4:$B$203,S$3))</x:f>
      </x:c>
      <x:c r="T17" s="134" t="str">
        <x:f>IF(OR($A17="",T$3=""),"",COUNTIFS(FINDINGS!$F$4:$F$203,$A17,FINDINGS!$B$4:$B$203,T$3))</x:f>
      </x:c>
      <x:c r="U17" s="134" t="str">
        <x:f>IF(OR($A17="",U$3=""),"",COUNTIFS(FINDINGS!$F$4:$F$203,$A17,FINDINGS!$B$4:$B$203,U$3))</x:f>
      </x:c>
      <x:c r="V17" s="134" t="str">
        <x:f>IF(OR($A17="",V$3=""),"",COUNTIFS(FINDINGS!$F$4:$F$203,$A17,FINDINGS!$B$4:$B$203,V$3))</x:f>
      </x:c>
      <x:c r="W17" s="134" t="str">
        <x:f>IF(OR($A17="",W$3=""),"",COUNTIFS(FINDINGS!$F$4:$F$203,$A17,FINDINGS!$B$4:$B$203,W$3))</x:f>
      </x:c>
      <x:c r="X17" s="134" t="str">
        <x:f>IF(OR($A17="",X$3=""),"",COUNTIFS(FINDINGS!$F$4:$F$203,$A17,FINDINGS!$B$4:$B$203,X$3))</x:f>
      </x:c>
      <x:c r="Y17" s="134" t="str">
        <x:f>IF(OR($A17="",Y$3=""),"",COUNTIFS(FINDINGS!$F$4:$F$203,$A17,FINDINGS!$B$4:$B$203,Y$3))</x:f>
      </x:c>
      <x:c r="Z17" s="134" t="str">
        <x:f>IF(OR($A17="",Z$3=""),"",COUNTIFS(FINDINGS!$F$4:$F$203,$A17,FINDINGS!$B$4:$B$203,Z$3))</x:f>
      </x:c>
      <x:c r="AA17" s="134" t="str">
        <x:f>IF(OR($A17="",AA$3=""),"",COUNTIFS(FINDINGS!$F$4:$F$203,$A17,FINDINGS!$B$4:$B$203,AA$3))</x:f>
      </x:c>
      <x:c r="AB17" s="134" t="str">
        <x:f>IF(OR($A17="",AB$3=""),"",COUNTIFS(FINDINGS!$F$4:$F$203,$A17,FINDINGS!$B$4:$B$203,AB$3))</x:f>
      </x:c>
      <x:c r="AC17" s="134" t="str">
        <x:f>IF(OR($A17="",AC$3=""),"",COUNTIFS(FINDINGS!$F$4:$F$203,$A17,FINDINGS!$B$4:$B$203,AC$3))</x:f>
      </x:c>
      <x:c r="AD17" s="134" t="str">
        <x:f>IF(OR($A17="",AD$3=""),"",COUNTIFS(FINDINGS!$F$4:$F$203,$A17,FINDINGS!$B$4:$B$203,AD$3))</x:f>
      </x:c>
      <x:c r="AE17" s="134" t="str">
        <x:f>IF(OR($A17="",AE$3=""),"",COUNTIFS(FINDINGS!$F$4:$F$203,$A17,FINDINGS!$B$4:$B$203,AE$3))</x:f>
      </x:c>
      <x:c r="AF17" s="134" t="str">
        <x:f>IF(OR($A17="",AF$3=""),"",COUNTIFS(FINDINGS!$F$4:$F$203,$A17,FINDINGS!$B$4:$B$203,AF$3))</x:f>
      </x:c>
      <x:c r="AG17" s="134" t="str">
        <x:f>IF(OR($A17="",AG$3=""),"",COUNTIFS(FINDINGS!$F$4:$F$203,$A17,FINDINGS!$B$4:$B$203,AG$3))</x:f>
      </x:c>
      <x:c r="AH17" s="134" t="str">
        <x:f>IF(OR($A17="",AH$3=""),"",COUNTIFS(FINDINGS!$F$4:$F$203,$A17,FINDINGS!$B$4:$B$203,AH$3))</x:f>
      </x:c>
      <x:c r="AI17" s="134" t="str">
        <x:f>IF(OR($A17="",AI$3=""),"",COUNTIFS(FINDINGS!$F$4:$F$203,$A17,FINDINGS!$B$4:$B$203,AI$3))</x:f>
      </x:c>
      <x:c r="AJ17" s="134" t="str">
        <x:f>IF(OR($A17="",AJ$3=""),"",COUNTIFS(FINDINGS!$F$4:$F$203,$A17,FINDINGS!$B$4:$B$203,AJ$3))</x:f>
      </x:c>
      <x:c r="AK17" s="134" t="str">
        <x:f>IF(OR($A17="",AK$3=""),"",COUNTIFS(FINDINGS!$F$4:$F$203,$A17,FINDINGS!$B$4:$B$203,AK$3))</x:f>
      </x:c>
      <x:c r="AL17" s="134" t="str">
        <x:f>IF(OR($A17="",AL$3=""),"",COUNTIFS(FINDINGS!$F$4:$F$203,$A17,FINDINGS!$B$4:$B$203,AL$3))</x:f>
      </x:c>
      <x:c r="AM17" s="134" t="str">
        <x:f>IF(OR($A17="",AM$3=""),"",COUNTIFS(FINDINGS!$F$4:$F$203,$A17,FINDINGS!$B$4:$B$203,AM$3))</x:f>
      </x:c>
      <x:c r="AN17" s="134" t="str">
        <x:f>IF(OR($A17="",AN$3=""),"",COUNTIFS(FINDINGS!$F$4:$F$203,$A17,FINDINGS!$B$4:$B$203,AN$3))</x:f>
      </x:c>
      <x:c r="AO17" s="134" t="str">
        <x:f>IF(OR($A17="",AO$3=""),"",COUNTIFS(FINDINGS!$F$4:$F$203,$A17,FINDINGS!$B$4:$B$203,AO$3))</x:f>
      </x:c>
      <x:c r="AP17" s="134" t="str">
        <x:f>IF(OR($A17="",AP$3=""),"",COUNTIFS(FINDINGS!$F$4:$F$203,$A17,FINDINGS!$B$4:$B$203,AP$3))</x:f>
      </x:c>
      <x:c r="AQ17" s="134" t="str">
        <x:f>IF(OR($A17="",AQ$3=""),"",COUNTIFS(FINDINGS!$F$4:$F$203,$A17,FINDINGS!$B$4:$B$203,AQ$3))</x:f>
      </x:c>
      <x:c r="AR17" s="134" t="str">
        <x:f>IF(OR($A17="",AR$3=""),"",COUNTIFS(FINDINGS!$F$4:$F$203,$A17,FINDINGS!$B$4:$B$203,AR$3))</x:f>
      </x:c>
      <x:c r="AS17" s="134" t="str">
        <x:f>IF(OR($A17="",AS$3=""),"",COUNTIFS(FINDINGS!$F$4:$F$203,$A17,FINDINGS!$B$4:$B$203,AS$3))</x:f>
      </x:c>
    </x:row>
    <x:row r="18">
      <x:c r="A18" s="126" t="str">
        <x:f>IF(B18="","","C"&amp;TEXT(ROW()-3,"00"))</x:f>
      </x:c>
      <x:c r="B18" s="119"/>
      <x:c r="C18" s="119"/>
      <x:c r="D18" s="126" t="str">
        <x:f>IF(A18="","",COUNTIF(FINDINGS!$F$4:$F$203,A18))</x:f>
      </x:c>
      <x:c r="E18" s="126" t="str">
        <x:f>IF(A18="","",COUNTIF(P18:AS18,"&gt;0"))</x:f>
      </x:c>
      <x:c r="F18" s="126" t="str">
        <x:f>IF(A18="","",COUNTIFS(FINDINGS!$F$4:$F$203,A18,FINDINGS!$J$4:$J$203,"Supports"))</x:f>
      </x:c>
      <x:c r="G18" s="126" t="str">
        <x:f>IF(A18="","",COUNTIFS(FINDINGS!$F$4:$F$203,A18,FINDINGS!$J$4:$J$203,"Contradicts"))</x:f>
      </x:c>
      <x:c r="H18" s="126" t="str">
        <x:f>IF(A18="","",COUNTIFS(FINDINGS!$F$4:$F$203,A18,FINDINGS!$J$4:$J$203,"Complicates"))</x:f>
      </x:c>
      <x:c r="I18" s="126" t="str">
        <x:f>IF(A18="","",COUNTIFS(FINDINGS!$F$4:$F$203,A18,FINDINGS!$J$4:$J$203,"Context"))</x:f>
      </x:c>
      <x:c r="J18" s="126" t="str">
        <x:f>IF(A18="","",IF(OR(G18&gt;0,H18&gt;0),"Yes","No"))</x:f>
      </x:c>
      <x:c r="K18" s="126" t="str">
        <x:f>IF(A18="","",IF(E18=0,"NO EVIDENCE",IF(E18&lt;2,"THIN",IF(AND(F18&gt;0,G18=0,H18=0),"CHECK BALANCE","SYNTHESIS-READY"))))</x:f>
      </x:c>
      <x:c r="L18" s="126" t="str">
        <x:f>IF(A18="","",IF(OR(G18&gt;0,H18&gt;0),"Yes",IF(E18&lt;2,"Yes","Review")))</x:f>
      </x:c>
      <x:c r="M18" s="119"/>
      <x:c r="N18" s="119"/>
      <x:c r="O18" s="134"/>
      <x:c r="P18" s="134" t="str">
        <x:f>IF(OR($A18="",P$3=""),"",COUNTIFS(FINDINGS!$F$4:$F$203,$A18,FINDINGS!$B$4:$B$203,P$3))</x:f>
      </x:c>
      <x:c r="Q18" s="134" t="str">
        <x:f>IF(OR($A18="",Q$3=""),"",COUNTIFS(FINDINGS!$F$4:$F$203,$A18,FINDINGS!$B$4:$B$203,Q$3))</x:f>
      </x:c>
      <x:c r="R18" s="134" t="str">
        <x:f>IF(OR($A18="",R$3=""),"",COUNTIFS(FINDINGS!$F$4:$F$203,$A18,FINDINGS!$B$4:$B$203,R$3))</x:f>
      </x:c>
      <x:c r="S18" s="134" t="str">
        <x:f>IF(OR($A18="",S$3=""),"",COUNTIFS(FINDINGS!$F$4:$F$203,$A18,FINDINGS!$B$4:$B$203,S$3))</x:f>
      </x:c>
      <x:c r="T18" s="134" t="str">
        <x:f>IF(OR($A18="",T$3=""),"",COUNTIFS(FINDINGS!$F$4:$F$203,$A18,FINDINGS!$B$4:$B$203,T$3))</x:f>
      </x:c>
      <x:c r="U18" s="134" t="str">
        <x:f>IF(OR($A18="",U$3=""),"",COUNTIFS(FINDINGS!$F$4:$F$203,$A18,FINDINGS!$B$4:$B$203,U$3))</x:f>
      </x:c>
      <x:c r="V18" s="134" t="str">
        <x:f>IF(OR($A18="",V$3=""),"",COUNTIFS(FINDINGS!$F$4:$F$203,$A18,FINDINGS!$B$4:$B$203,V$3))</x:f>
      </x:c>
      <x:c r="W18" s="134" t="str">
        <x:f>IF(OR($A18="",W$3=""),"",COUNTIFS(FINDINGS!$F$4:$F$203,$A18,FINDINGS!$B$4:$B$203,W$3))</x:f>
      </x:c>
      <x:c r="X18" s="134" t="str">
        <x:f>IF(OR($A18="",X$3=""),"",COUNTIFS(FINDINGS!$F$4:$F$203,$A18,FINDINGS!$B$4:$B$203,X$3))</x:f>
      </x:c>
      <x:c r="Y18" s="134" t="str">
        <x:f>IF(OR($A18="",Y$3=""),"",COUNTIFS(FINDINGS!$F$4:$F$203,$A18,FINDINGS!$B$4:$B$203,Y$3))</x:f>
      </x:c>
      <x:c r="Z18" s="134" t="str">
        <x:f>IF(OR($A18="",Z$3=""),"",COUNTIFS(FINDINGS!$F$4:$F$203,$A18,FINDINGS!$B$4:$B$203,Z$3))</x:f>
      </x:c>
      <x:c r="AA18" s="134" t="str">
        <x:f>IF(OR($A18="",AA$3=""),"",COUNTIFS(FINDINGS!$F$4:$F$203,$A18,FINDINGS!$B$4:$B$203,AA$3))</x:f>
      </x:c>
      <x:c r="AB18" s="134" t="str">
        <x:f>IF(OR($A18="",AB$3=""),"",COUNTIFS(FINDINGS!$F$4:$F$203,$A18,FINDINGS!$B$4:$B$203,AB$3))</x:f>
      </x:c>
      <x:c r="AC18" s="134" t="str">
        <x:f>IF(OR($A18="",AC$3=""),"",COUNTIFS(FINDINGS!$F$4:$F$203,$A18,FINDINGS!$B$4:$B$203,AC$3))</x:f>
      </x:c>
      <x:c r="AD18" s="134" t="str">
        <x:f>IF(OR($A18="",AD$3=""),"",COUNTIFS(FINDINGS!$F$4:$F$203,$A18,FINDINGS!$B$4:$B$203,AD$3))</x:f>
      </x:c>
      <x:c r="AE18" s="134" t="str">
        <x:f>IF(OR($A18="",AE$3=""),"",COUNTIFS(FINDINGS!$F$4:$F$203,$A18,FINDINGS!$B$4:$B$203,AE$3))</x:f>
      </x:c>
      <x:c r="AF18" s="134" t="str">
        <x:f>IF(OR($A18="",AF$3=""),"",COUNTIFS(FINDINGS!$F$4:$F$203,$A18,FINDINGS!$B$4:$B$203,AF$3))</x:f>
      </x:c>
      <x:c r="AG18" s="134" t="str">
        <x:f>IF(OR($A18="",AG$3=""),"",COUNTIFS(FINDINGS!$F$4:$F$203,$A18,FINDINGS!$B$4:$B$203,AG$3))</x:f>
      </x:c>
      <x:c r="AH18" s="134" t="str">
        <x:f>IF(OR($A18="",AH$3=""),"",COUNTIFS(FINDINGS!$F$4:$F$203,$A18,FINDINGS!$B$4:$B$203,AH$3))</x:f>
      </x:c>
      <x:c r="AI18" s="134" t="str">
        <x:f>IF(OR($A18="",AI$3=""),"",COUNTIFS(FINDINGS!$F$4:$F$203,$A18,FINDINGS!$B$4:$B$203,AI$3))</x:f>
      </x:c>
      <x:c r="AJ18" s="134" t="str">
        <x:f>IF(OR($A18="",AJ$3=""),"",COUNTIFS(FINDINGS!$F$4:$F$203,$A18,FINDINGS!$B$4:$B$203,AJ$3))</x:f>
      </x:c>
      <x:c r="AK18" s="134" t="str">
        <x:f>IF(OR($A18="",AK$3=""),"",COUNTIFS(FINDINGS!$F$4:$F$203,$A18,FINDINGS!$B$4:$B$203,AK$3))</x:f>
      </x:c>
      <x:c r="AL18" s="134" t="str">
        <x:f>IF(OR($A18="",AL$3=""),"",COUNTIFS(FINDINGS!$F$4:$F$203,$A18,FINDINGS!$B$4:$B$203,AL$3))</x:f>
      </x:c>
      <x:c r="AM18" s="134" t="str">
        <x:f>IF(OR($A18="",AM$3=""),"",COUNTIFS(FINDINGS!$F$4:$F$203,$A18,FINDINGS!$B$4:$B$203,AM$3))</x:f>
      </x:c>
      <x:c r="AN18" s="134" t="str">
        <x:f>IF(OR($A18="",AN$3=""),"",COUNTIFS(FINDINGS!$F$4:$F$203,$A18,FINDINGS!$B$4:$B$203,AN$3))</x:f>
      </x:c>
      <x:c r="AO18" s="134" t="str">
        <x:f>IF(OR($A18="",AO$3=""),"",COUNTIFS(FINDINGS!$F$4:$F$203,$A18,FINDINGS!$B$4:$B$203,AO$3))</x:f>
      </x:c>
      <x:c r="AP18" s="134" t="str">
        <x:f>IF(OR($A18="",AP$3=""),"",COUNTIFS(FINDINGS!$F$4:$F$203,$A18,FINDINGS!$B$4:$B$203,AP$3))</x:f>
      </x:c>
      <x:c r="AQ18" s="134" t="str">
        <x:f>IF(OR($A18="",AQ$3=""),"",COUNTIFS(FINDINGS!$F$4:$F$203,$A18,FINDINGS!$B$4:$B$203,AQ$3))</x:f>
      </x:c>
      <x:c r="AR18" s="134" t="str">
        <x:f>IF(OR($A18="",AR$3=""),"",COUNTIFS(FINDINGS!$F$4:$F$203,$A18,FINDINGS!$B$4:$B$203,AR$3))</x:f>
      </x:c>
      <x:c r="AS18" s="134" t="str">
        <x:f>IF(OR($A18="",AS$3=""),"",COUNTIFS(FINDINGS!$F$4:$F$203,$A18,FINDINGS!$B$4:$B$203,AS$3))</x:f>
      </x:c>
    </x:row>
    <x:row r="19">
      <x:c r="A19" s="126" t="str">
        <x:f>IF(B19="","","C"&amp;TEXT(ROW()-3,"00"))</x:f>
      </x:c>
      <x:c r="B19" s="119"/>
      <x:c r="C19" s="119"/>
      <x:c r="D19" s="126" t="str">
        <x:f>IF(A19="","",COUNTIF(FINDINGS!$F$4:$F$203,A19))</x:f>
      </x:c>
      <x:c r="E19" s="126" t="str">
        <x:f>IF(A19="","",COUNTIF(P19:AS19,"&gt;0"))</x:f>
      </x:c>
      <x:c r="F19" s="126" t="str">
        <x:f>IF(A19="","",COUNTIFS(FINDINGS!$F$4:$F$203,A19,FINDINGS!$J$4:$J$203,"Supports"))</x:f>
      </x:c>
      <x:c r="G19" s="126" t="str">
        <x:f>IF(A19="","",COUNTIFS(FINDINGS!$F$4:$F$203,A19,FINDINGS!$J$4:$J$203,"Contradicts"))</x:f>
      </x:c>
      <x:c r="H19" s="126" t="str">
        <x:f>IF(A19="","",COUNTIFS(FINDINGS!$F$4:$F$203,A19,FINDINGS!$J$4:$J$203,"Complicates"))</x:f>
      </x:c>
      <x:c r="I19" s="126" t="str">
        <x:f>IF(A19="","",COUNTIFS(FINDINGS!$F$4:$F$203,A19,FINDINGS!$J$4:$J$203,"Context"))</x:f>
      </x:c>
      <x:c r="J19" s="126" t="str">
        <x:f>IF(A19="","",IF(OR(G19&gt;0,H19&gt;0),"Yes","No"))</x:f>
      </x:c>
      <x:c r="K19" s="126" t="str">
        <x:f>IF(A19="","",IF(E19=0,"NO EVIDENCE",IF(E19&lt;2,"THIN",IF(AND(F19&gt;0,G19=0,H19=0),"CHECK BALANCE","SYNTHESIS-READY"))))</x:f>
      </x:c>
      <x:c r="L19" s="126" t="str">
        <x:f>IF(A19="","",IF(OR(G19&gt;0,H19&gt;0),"Yes",IF(E19&lt;2,"Yes","Review")))</x:f>
      </x:c>
      <x:c r="M19" s="119"/>
      <x:c r="N19" s="119"/>
      <x:c r="O19" s="134"/>
      <x:c r="P19" s="134" t="str">
        <x:f>IF(OR($A19="",P$3=""),"",COUNTIFS(FINDINGS!$F$4:$F$203,$A19,FINDINGS!$B$4:$B$203,P$3))</x:f>
      </x:c>
      <x:c r="Q19" s="134" t="str">
        <x:f>IF(OR($A19="",Q$3=""),"",COUNTIFS(FINDINGS!$F$4:$F$203,$A19,FINDINGS!$B$4:$B$203,Q$3))</x:f>
      </x:c>
      <x:c r="R19" s="134" t="str">
        <x:f>IF(OR($A19="",R$3=""),"",COUNTIFS(FINDINGS!$F$4:$F$203,$A19,FINDINGS!$B$4:$B$203,R$3))</x:f>
      </x:c>
      <x:c r="S19" s="134" t="str">
        <x:f>IF(OR($A19="",S$3=""),"",COUNTIFS(FINDINGS!$F$4:$F$203,$A19,FINDINGS!$B$4:$B$203,S$3))</x:f>
      </x:c>
      <x:c r="T19" s="134" t="str">
        <x:f>IF(OR($A19="",T$3=""),"",COUNTIFS(FINDINGS!$F$4:$F$203,$A19,FINDINGS!$B$4:$B$203,T$3))</x:f>
      </x:c>
      <x:c r="U19" s="134" t="str">
        <x:f>IF(OR($A19="",U$3=""),"",COUNTIFS(FINDINGS!$F$4:$F$203,$A19,FINDINGS!$B$4:$B$203,U$3))</x:f>
      </x:c>
      <x:c r="V19" s="134" t="str">
        <x:f>IF(OR($A19="",V$3=""),"",COUNTIFS(FINDINGS!$F$4:$F$203,$A19,FINDINGS!$B$4:$B$203,V$3))</x:f>
      </x:c>
      <x:c r="W19" s="134" t="str">
        <x:f>IF(OR($A19="",W$3=""),"",COUNTIFS(FINDINGS!$F$4:$F$203,$A19,FINDINGS!$B$4:$B$203,W$3))</x:f>
      </x:c>
      <x:c r="X19" s="134" t="str">
        <x:f>IF(OR($A19="",X$3=""),"",COUNTIFS(FINDINGS!$F$4:$F$203,$A19,FINDINGS!$B$4:$B$203,X$3))</x:f>
      </x:c>
      <x:c r="Y19" s="134" t="str">
        <x:f>IF(OR($A19="",Y$3=""),"",COUNTIFS(FINDINGS!$F$4:$F$203,$A19,FINDINGS!$B$4:$B$203,Y$3))</x:f>
      </x:c>
      <x:c r="Z19" s="134" t="str">
        <x:f>IF(OR($A19="",Z$3=""),"",COUNTIFS(FINDINGS!$F$4:$F$203,$A19,FINDINGS!$B$4:$B$203,Z$3))</x:f>
      </x:c>
      <x:c r="AA19" s="134" t="str">
        <x:f>IF(OR($A19="",AA$3=""),"",COUNTIFS(FINDINGS!$F$4:$F$203,$A19,FINDINGS!$B$4:$B$203,AA$3))</x:f>
      </x:c>
      <x:c r="AB19" s="134" t="str">
        <x:f>IF(OR($A19="",AB$3=""),"",COUNTIFS(FINDINGS!$F$4:$F$203,$A19,FINDINGS!$B$4:$B$203,AB$3))</x:f>
      </x:c>
      <x:c r="AC19" s="134" t="str">
        <x:f>IF(OR($A19="",AC$3=""),"",COUNTIFS(FINDINGS!$F$4:$F$203,$A19,FINDINGS!$B$4:$B$203,AC$3))</x:f>
      </x:c>
      <x:c r="AD19" s="134" t="str">
        <x:f>IF(OR($A19="",AD$3=""),"",COUNTIFS(FINDINGS!$F$4:$F$203,$A19,FINDINGS!$B$4:$B$203,AD$3))</x:f>
      </x:c>
      <x:c r="AE19" s="134" t="str">
        <x:f>IF(OR($A19="",AE$3=""),"",COUNTIFS(FINDINGS!$F$4:$F$203,$A19,FINDINGS!$B$4:$B$203,AE$3))</x:f>
      </x:c>
      <x:c r="AF19" s="134" t="str">
        <x:f>IF(OR($A19="",AF$3=""),"",COUNTIFS(FINDINGS!$F$4:$F$203,$A19,FINDINGS!$B$4:$B$203,AF$3))</x:f>
      </x:c>
      <x:c r="AG19" s="134" t="str">
        <x:f>IF(OR($A19="",AG$3=""),"",COUNTIFS(FINDINGS!$F$4:$F$203,$A19,FINDINGS!$B$4:$B$203,AG$3))</x:f>
      </x:c>
      <x:c r="AH19" s="134" t="str">
        <x:f>IF(OR($A19="",AH$3=""),"",COUNTIFS(FINDINGS!$F$4:$F$203,$A19,FINDINGS!$B$4:$B$203,AH$3))</x:f>
      </x:c>
      <x:c r="AI19" s="134" t="str">
        <x:f>IF(OR($A19="",AI$3=""),"",COUNTIFS(FINDINGS!$F$4:$F$203,$A19,FINDINGS!$B$4:$B$203,AI$3))</x:f>
      </x:c>
      <x:c r="AJ19" s="134" t="str">
        <x:f>IF(OR($A19="",AJ$3=""),"",COUNTIFS(FINDINGS!$F$4:$F$203,$A19,FINDINGS!$B$4:$B$203,AJ$3))</x:f>
      </x:c>
      <x:c r="AK19" s="134" t="str">
        <x:f>IF(OR($A19="",AK$3=""),"",COUNTIFS(FINDINGS!$F$4:$F$203,$A19,FINDINGS!$B$4:$B$203,AK$3))</x:f>
      </x:c>
      <x:c r="AL19" s="134" t="str">
        <x:f>IF(OR($A19="",AL$3=""),"",COUNTIFS(FINDINGS!$F$4:$F$203,$A19,FINDINGS!$B$4:$B$203,AL$3))</x:f>
      </x:c>
      <x:c r="AM19" s="134" t="str">
        <x:f>IF(OR($A19="",AM$3=""),"",COUNTIFS(FINDINGS!$F$4:$F$203,$A19,FINDINGS!$B$4:$B$203,AM$3))</x:f>
      </x:c>
      <x:c r="AN19" s="134" t="str">
        <x:f>IF(OR($A19="",AN$3=""),"",COUNTIFS(FINDINGS!$F$4:$F$203,$A19,FINDINGS!$B$4:$B$203,AN$3))</x:f>
      </x:c>
      <x:c r="AO19" s="134" t="str">
        <x:f>IF(OR($A19="",AO$3=""),"",COUNTIFS(FINDINGS!$F$4:$F$203,$A19,FINDINGS!$B$4:$B$203,AO$3))</x:f>
      </x:c>
      <x:c r="AP19" s="134" t="str">
        <x:f>IF(OR($A19="",AP$3=""),"",COUNTIFS(FINDINGS!$F$4:$F$203,$A19,FINDINGS!$B$4:$B$203,AP$3))</x:f>
      </x:c>
      <x:c r="AQ19" s="134" t="str">
        <x:f>IF(OR($A19="",AQ$3=""),"",COUNTIFS(FINDINGS!$F$4:$F$203,$A19,FINDINGS!$B$4:$B$203,AQ$3))</x:f>
      </x:c>
      <x:c r="AR19" s="134" t="str">
        <x:f>IF(OR($A19="",AR$3=""),"",COUNTIFS(FINDINGS!$F$4:$F$203,$A19,FINDINGS!$B$4:$B$203,AR$3))</x:f>
      </x:c>
      <x:c r="AS19" s="134" t="str">
        <x:f>IF(OR($A19="",AS$3=""),"",COUNTIFS(FINDINGS!$F$4:$F$203,$A19,FINDINGS!$B$4:$B$203,AS$3))</x:f>
      </x:c>
    </x:row>
    <x:row r="20">
      <x:c r="A20" s="126" t="str">
        <x:f>IF(B20="","","C"&amp;TEXT(ROW()-3,"00"))</x:f>
      </x:c>
      <x:c r="B20" s="119"/>
      <x:c r="C20" s="119"/>
      <x:c r="D20" s="126" t="str">
        <x:f>IF(A20="","",COUNTIF(FINDINGS!$F$4:$F$203,A20))</x:f>
      </x:c>
      <x:c r="E20" s="126" t="str">
        <x:f>IF(A20="","",COUNTIF(P20:AS20,"&gt;0"))</x:f>
      </x:c>
      <x:c r="F20" s="126" t="str">
        <x:f>IF(A20="","",COUNTIFS(FINDINGS!$F$4:$F$203,A20,FINDINGS!$J$4:$J$203,"Supports"))</x:f>
      </x:c>
      <x:c r="G20" s="126" t="str">
        <x:f>IF(A20="","",COUNTIFS(FINDINGS!$F$4:$F$203,A20,FINDINGS!$J$4:$J$203,"Contradicts"))</x:f>
      </x:c>
      <x:c r="H20" s="126" t="str">
        <x:f>IF(A20="","",COUNTIFS(FINDINGS!$F$4:$F$203,A20,FINDINGS!$J$4:$J$203,"Complicates"))</x:f>
      </x:c>
      <x:c r="I20" s="126" t="str">
        <x:f>IF(A20="","",COUNTIFS(FINDINGS!$F$4:$F$203,A20,FINDINGS!$J$4:$J$203,"Context"))</x:f>
      </x:c>
      <x:c r="J20" s="126" t="str">
        <x:f>IF(A20="","",IF(OR(G20&gt;0,H20&gt;0),"Yes","No"))</x:f>
      </x:c>
      <x:c r="K20" s="126" t="str">
        <x:f>IF(A20="","",IF(E20=0,"NO EVIDENCE",IF(E20&lt;2,"THIN",IF(AND(F20&gt;0,G20=0,H20=0),"CHECK BALANCE","SYNTHESIS-READY"))))</x:f>
      </x:c>
      <x:c r="L20" s="126" t="str">
        <x:f>IF(A20="","",IF(OR(G20&gt;0,H20&gt;0),"Yes",IF(E20&lt;2,"Yes","Review")))</x:f>
      </x:c>
      <x:c r="M20" s="119"/>
      <x:c r="N20" s="119"/>
      <x:c r="O20" s="134"/>
      <x:c r="P20" s="134" t="str">
        <x:f>IF(OR($A20="",P$3=""),"",COUNTIFS(FINDINGS!$F$4:$F$203,$A20,FINDINGS!$B$4:$B$203,P$3))</x:f>
      </x:c>
      <x:c r="Q20" s="134" t="str">
        <x:f>IF(OR($A20="",Q$3=""),"",COUNTIFS(FINDINGS!$F$4:$F$203,$A20,FINDINGS!$B$4:$B$203,Q$3))</x:f>
      </x:c>
      <x:c r="R20" s="134" t="str">
        <x:f>IF(OR($A20="",R$3=""),"",COUNTIFS(FINDINGS!$F$4:$F$203,$A20,FINDINGS!$B$4:$B$203,R$3))</x:f>
      </x:c>
      <x:c r="S20" s="134" t="str">
        <x:f>IF(OR($A20="",S$3=""),"",COUNTIFS(FINDINGS!$F$4:$F$203,$A20,FINDINGS!$B$4:$B$203,S$3))</x:f>
      </x:c>
      <x:c r="T20" s="134" t="str">
        <x:f>IF(OR($A20="",T$3=""),"",COUNTIFS(FINDINGS!$F$4:$F$203,$A20,FINDINGS!$B$4:$B$203,T$3))</x:f>
      </x:c>
      <x:c r="U20" s="134" t="str">
        <x:f>IF(OR($A20="",U$3=""),"",COUNTIFS(FINDINGS!$F$4:$F$203,$A20,FINDINGS!$B$4:$B$203,U$3))</x:f>
      </x:c>
      <x:c r="V20" s="134" t="str">
        <x:f>IF(OR($A20="",V$3=""),"",COUNTIFS(FINDINGS!$F$4:$F$203,$A20,FINDINGS!$B$4:$B$203,V$3))</x:f>
      </x:c>
      <x:c r="W20" s="134" t="str">
        <x:f>IF(OR($A20="",W$3=""),"",COUNTIFS(FINDINGS!$F$4:$F$203,$A20,FINDINGS!$B$4:$B$203,W$3))</x:f>
      </x:c>
      <x:c r="X20" s="134" t="str">
        <x:f>IF(OR($A20="",X$3=""),"",COUNTIFS(FINDINGS!$F$4:$F$203,$A20,FINDINGS!$B$4:$B$203,X$3))</x:f>
      </x:c>
      <x:c r="Y20" s="134" t="str">
        <x:f>IF(OR($A20="",Y$3=""),"",COUNTIFS(FINDINGS!$F$4:$F$203,$A20,FINDINGS!$B$4:$B$203,Y$3))</x:f>
      </x:c>
      <x:c r="Z20" s="134" t="str">
        <x:f>IF(OR($A20="",Z$3=""),"",COUNTIFS(FINDINGS!$F$4:$F$203,$A20,FINDINGS!$B$4:$B$203,Z$3))</x:f>
      </x:c>
      <x:c r="AA20" s="134" t="str">
        <x:f>IF(OR($A20="",AA$3=""),"",COUNTIFS(FINDINGS!$F$4:$F$203,$A20,FINDINGS!$B$4:$B$203,AA$3))</x:f>
      </x:c>
      <x:c r="AB20" s="134" t="str">
        <x:f>IF(OR($A20="",AB$3=""),"",COUNTIFS(FINDINGS!$F$4:$F$203,$A20,FINDINGS!$B$4:$B$203,AB$3))</x:f>
      </x:c>
      <x:c r="AC20" s="134" t="str">
        <x:f>IF(OR($A20="",AC$3=""),"",COUNTIFS(FINDINGS!$F$4:$F$203,$A20,FINDINGS!$B$4:$B$203,AC$3))</x:f>
      </x:c>
      <x:c r="AD20" s="134" t="str">
        <x:f>IF(OR($A20="",AD$3=""),"",COUNTIFS(FINDINGS!$F$4:$F$203,$A20,FINDINGS!$B$4:$B$203,AD$3))</x:f>
      </x:c>
      <x:c r="AE20" s="134" t="str">
        <x:f>IF(OR($A20="",AE$3=""),"",COUNTIFS(FINDINGS!$F$4:$F$203,$A20,FINDINGS!$B$4:$B$203,AE$3))</x:f>
      </x:c>
      <x:c r="AF20" s="134" t="str">
        <x:f>IF(OR($A20="",AF$3=""),"",COUNTIFS(FINDINGS!$F$4:$F$203,$A20,FINDINGS!$B$4:$B$203,AF$3))</x:f>
      </x:c>
      <x:c r="AG20" s="134" t="str">
        <x:f>IF(OR($A20="",AG$3=""),"",COUNTIFS(FINDINGS!$F$4:$F$203,$A20,FINDINGS!$B$4:$B$203,AG$3))</x:f>
      </x:c>
      <x:c r="AH20" s="134" t="str">
        <x:f>IF(OR($A20="",AH$3=""),"",COUNTIFS(FINDINGS!$F$4:$F$203,$A20,FINDINGS!$B$4:$B$203,AH$3))</x:f>
      </x:c>
      <x:c r="AI20" s="134" t="str">
        <x:f>IF(OR($A20="",AI$3=""),"",COUNTIFS(FINDINGS!$F$4:$F$203,$A20,FINDINGS!$B$4:$B$203,AI$3))</x:f>
      </x:c>
      <x:c r="AJ20" s="134" t="str">
        <x:f>IF(OR($A20="",AJ$3=""),"",COUNTIFS(FINDINGS!$F$4:$F$203,$A20,FINDINGS!$B$4:$B$203,AJ$3))</x:f>
      </x:c>
      <x:c r="AK20" s="134" t="str">
        <x:f>IF(OR($A20="",AK$3=""),"",COUNTIFS(FINDINGS!$F$4:$F$203,$A20,FINDINGS!$B$4:$B$203,AK$3))</x:f>
      </x:c>
      <x:c r="AL20" s="134" t="str">
        <x:f>IF(OR($A20="",AL$3=""),"",COUNTIFS(FINDINGS!$F$4:$F$203,$A20,FINDINGS!$B$4:$B$203,AL$3))</x:f>
      </x:c>
      <x:c r="AM20" s="134" t="str">
        <x:f>IF(OR($A20="",AM$3=""),"",COUNTIFS(FINDINGS!$F$4:$F$203,$A20,FINDINGS!$B$4:$B$203,AM$3))</x:f>
      </x:c>
      <x:c r="AN20" s="134" t="str">
        <x:f>IF(OR($A20="",AN$3=""),"",COUNTIFS(FINDINGS!$F$4:$F$203,$A20,FINDINGS!$B$4:$B$203,AN$3))</x:f>
      </x:c>
      <x:c r="AO20" s="134" t="str">
        <x:f>IF(OR($A20="",AO$3=""),"",COUNTIFS(FINDINGS!$F$4:$F$203,$A20,FINDINGS!$B$4:$B$203,AO$3))</x:f>
      </x:c>
      <x:c r="AP20" s="134" t="str">
        <x:f>IF(OR($A20="",AP$3=""),"",COUNTIFS(FINDINGS!$F$4:$F$203,$A20,FINDINGS!$B$4:$B$203,AP$3))</x:f>
      </x:c>
      <x:c r="AQ20" s="134" t="str">
        <x:f>IF(OR($A20="",AQ$3=""),"",COUNTIFS(FINDINGS!$F$4:$F$203,$A20,FINDINGS!$B$4:$B$203,AQ$3))</x:f>
      </x:c>
      <x:c r="AR20" s="134" t="str">
        <x:f>IF(OR($A20="",AR$3=""),"",COUNTIFS(FINDINGS!$F$4:$F$203,$A20,FINDINGS!$B$4:$B$203,AR$3))</x:f>
      </x:c>
      <x:c r="AS20" s="134" t="str">
        <x:f>IF(OR($A20="",AS$3=""),"",COUNTIFS(FINDINGS!$F$4:$F$203,$A20,FINDINGS!$B$4:$B$203,AS$3))</x:f>
      </x:c>
    </x:row>
    <x:row r="21">
      <x:c r="A21" s="126" t="str">
        <x:f>IF(B21="","","C"&amp;TEXT(ROW()-3,"00"))</x:f>
      </x:c>
      <x:c r="B21" s="119"/>
      <x:c r="C21" s="119"/>
      <x:c r="D21" s="126" t="str">
        <x:f>IF(A21="","",COUNTIF(FINDINGS!$F$4:$F$203,A21))</x:f>
      </x:c>
      <x:c r="E21" s="126" t="str">
        <x:f>IF(A21="","",COUNTIF(P21:AS21,"&gt;0"))</x:f>
      </x:c>
      <x:c r="F21" s="126" t="str">
        <x:f>IF(A21="","",COUNTIFS(FINDINGS!$F$4:$F$203,A21,FINDINGS!$J$4:$J$203,"Supports"))</x:f>
      </x:c>
      <x:c r="G21" s="126" t="str">
        <x:f>IF(A21="","",COUNTIFS(FINDINGS!$F$4:$F$203,A21,FINDINGS!$J$4:$J$203,"Contradicts"))</x:f>
      </x:c>
      <x:c r="H21" s="126" t="str">
        <x:f>IF(A21="","",COUNTIFS(FINDINGS!$F$4:$F$203,A21,FINDINGS!$J$4:$J$203,"Complicates"))</x:f>
      </x:c>
      <x:c r="I21" s="126" t="str">
        <x:f>IF(A21="","",COUNTIFS(FINDINGS!$F$4:$F$203,A21,FINDINGS!$J$4:$J$203,"Context"))</x:f>
      </x:c>
      <x:c r="J21" s="126" t="str">
        <x:f>IF(A21="","",IF(OR(G21&gt;0,H21&gt;0),"Yes","No"))</x:f>
      </x:c>
      <x:c r="K21" s="126" t="str">
        <x:f>IF(A21="","",IF(E21=0,"NO EVIDENCE",IF(E21&lt;2,"THIN",IF(AND(F21&gt;0,G21=0,H21=0),"CHECK BALANCE","SYNTHESIS-READY"))))</x:f>
      </x:c>
      <x:c r="L21" s="126" t="str">
        <x:f>IF(A21="","",IF(OR(G21&gt;0,H21&gt;0),"Yes",IF(E21&lt;2,"Yes","Review")))</x:f>
      </x:c>
      <x:c r="M21" s="119"/>
      <x:c r="N21" s="119"/>
      <x:c r="O21" s="134"/>
      <x:c r="P21" s="134" t="str">
        <x:f>IF(OR($A21="",P$3=""),"",COUNTIFS(FINDINGS!$F$4:$F$203,$A21,FINDINGS!$B$4:$B$203,P$3))</x:f>
      </x:c>
      <x:c r="Q21" s="134" t="str">
        <x:f>IF(OR($A21="",Q$3=""),"",COUNTIFS(FINDINGS!$F$4:$F$203,$A21,FINDINGS!$B$4:$B$203,Q$3))</x:f>
      </x:c>
      <x:c r="R21" s="134" t="str">
        <x:f>IF(OR($A21="",R$3=""),"",COUNTIFS(FINDINGS!$F$4:$F$203,$A21,FINDINGS!$B$4:$B$203,R$3))</x:f>
      </x:c>
      <x:c r="S21" s="134" t="str">
        <x:f>IF(OR($A21="",S$3=""),"",COUNTIFS(FINDINGS!$F$4:$F$203,$A21,FINDINGS!$B$4:$B$203,S$3))</x:f>
      </x:c>
      <x:c r="T21" s="134" t="str">
        <x:f>IF(OR($A21="",T$3=""),"",COUNTIFS(FINDINGS!$F$4:$F$203,$A21,FINDINGS!$B$4:$B$203,T$3))</x:f>
      </x:c>
      <x:c r="U21" s="134" t="str">
        <x:f>IF(OR($A21="",U$3=""),"",COUNTIFS(FINDINGS!$F$4:$F$203,$A21,FINDINGS!$B$4:$B$203,U$3))</x:f>
      </x:c>
      <x:c r="V21" s="134" t="str">
        <x:f>IF(OR($A21="",V$3=""),"",COUNTIFS(FINDINGS!$F$4:$F$203,$A21,FINDINGS!$B$4:$B$203,V$3))</x:f>
      </x:c>
      <x:c r="W21" s="134" t="str">
        <x:f>IF(OR($A21="",W$3=""),"",COUNTIFS(FINDINGS!$F$4:$F$203,$A21,FINDINGS!$B$4:$B$203,W$3))</x:f>
      </x:c>
      <x:c r="X21" s="134" t="str">
        <x:f>IF(OR($A21="",X$3=""),"",COUNTIFS(FINDINGS!$F$4:$F$203,$A21,FINDINGS!$B$4:$B$203,X$3))</x:f>
      </x:c>
      <x:c r="Y21" s="134" t="str">
        <x:f>IF(OR($A21="",Y$3=""),"",COUNTIFS(FINDINGS!$F$4:$F$203,$A21,FINDINGS!$B$4:$B$203,Y$3))</x:f>
      </x:c>
      <x:c r="Z21" s="134" t="str">
        <x:f>IF(OR($A21="",Z$3=""),"",COUNTIFS(FINDINGS!$F$4:$F$203,$A21,FINDINGS!$B$4:$B$203,Z$3))</x:f>
      </x:c>
      <x:c r="AA21" s="134" t="str">
        <x:f>IF(OR($A21="",AA$3=""),"",COUNTIFS(FINDINGS!$F$4:$F$203,$A21,FINDINGS!$B$4:$B$203,AA$3))</x:f>
      </x:c>
      <x:c r="AB21" s="134" t="str">
        <x:f>IF(OR($A21="",AB$3=""),"",COUNTIFS(FINDINGS!$F$4:$F$203,$A21,FINDINGS!$B$4:$B$203,AB$3))</x:f>
      </x:c>
      <x:c r="AC21" s="134" t="str">
        <x:f>IF(OR($A21="",AC$3=""),"",COUNTIFS(FINDINGS!$F$4:$F$203,$A21,FINDINGS!$B$4:$B$203,AC$3))</x:f>
      </x:c>
      <x:c r="AD21" s="134" t="str">
        <x:f>IF(OR($A21="",AD$3=""),"",COUNTIFS(FINDINGS!$F$4:$F$203,$A21,FINDINGS!$B$4:$B$203,AD$3))</x:f>
      </x:c>
      <x:c r="AE21" s="134" t="str">
        <x:f>IF(OR($A21="",AE$3=""),"",COUNTIFS(FINDINGS!$F$4:$F$203,$A21,FINDINGS!$B$4:$B$203,AE$3))</x:f>
      </x:c>
      <x:c r="AF21" s="134" t="str">
        <x:f>IF(OR($A21="",AF$3=""),"",COUNTIFS(FINDINGS!$F$4:$F$203,$A21,FINDINGS!$B$4:$B$203,AF$3))</x:f>
      </x:c>
      <x:c r="AG21" s="134" t="str">
        <x:f>IF(OR($A21="",AG$3=""),"",COUNTIFS(FINDINGS!$F$4:$F$203,$A21,FINDINGS!$B$4:$B$203,AG$3))</x:f>
      </x:c>
      <x:c r="AH21" s="134" t="str">
        <x:f>IF(OR($A21="",AH$3=""),"",COUNTIFS(FINDINGS!$F$4:$F$203,$A21,FINDINGS!$B$4:$B$203,AH$3))</x:f>
      </x:c>
      <x:c r="AI21" s="134" t="str">
        <x:f>IF(OR($A21="",AI$3=""),"",COUNTIFS(FINDINGS!$F$4:$F$203,$A21,FINDINGS!$B$4:$B$203,AI$3))</x:f>
      </x:c>
      <x:c r="AJ21" s="134" t="str">
        <x:f>IF(OR($A21="",AJ$3=""),"",COUNTIFS(FINDINGS!$F$4:$F$203,$A21,FINDINGS!$B$4:$B$203,AJ$3))</x:f>
      </x:c>
      <x:c r="AK21" s="134" t="str">
        <x:f>IF(OR($A21="",AK$3=""),"",COUNTIFS(FINDINGS!$F$4:$F$203,$A21,FINDINGS!$B$4:$B$203,AK$3))</x:f>
      </x:c>
      <x:c r="AL21" s="134" t="str">
        <x:f>IF(OR($A21="",AL$3=""),"",COUNTIFS(FINDINGS!$F$4:$F$203,$A21,FINDINGS!$B$4:$B$203,AL$3))</x:f>
      </x:c>
      <x:c r="AM21" s="134" t="str">
        <x:f>IF(OR($A21="",AM$3=""),"",COUNTIFS(FINDINGS!$F$4:$F$203,$A21,FINDINGS!$B$4:$B$203,AM$3))</x:f>
      </x:c>
      <x:c r="AN21" s="134" t="str">
        <x:f>IF(OR($A21="",AN$3=""),"",COUNTIFS(FINDINGS!$F$4:$F$203,$A21,FINDINGS!$B$4:$B$203,AN$3))</x:f>
      </x:c>
      <x:c r="AO21" s="134" t="str">
        <x:f>IF(OR($A21="",AO$3=""),"",COUNTIFS(FINDINGS!$F$4:$F$203,$A21,FINDINGS!$B$4:$B$203,AO$3))</x:f>
      </x:c>
      <x:c r="AP21" s="134" t="str">
        <x:f>IF(OR($A21="",AP$3=""),"",COUNTIFS(FINDINGS!$F$4:$F$203,$A21,FINDINGS!$B$4:$B$203,AP$3))</x:f>
      </x:c>
      <x:c r="AQ21" s="134" t="str">
        <x:f>IF(OR($A21="",AQ$3=""),"",COUNTIFS(FINDINGS!$F$4:$F$203,$A21,FINDINGS!$B$4:$B$203,AQ$3))</x:f>
      </x:c>
      <x:c r="AR21" s="134" t="str">
        <x:f>IF(OR($A21="",AR$3=""),"",COUNTIFS(FINDINGS!$F$4:$F$203,$A21,FINDINGS!$B$4:$B$203,AR$3))</x:f>
      </x:c>
      <x:c r="AS21" s="134" t="str">
        <x:f>IF(OR($A21="",AS$3=""),"",COUNTIFS(FINDINGS!$F$4:$F$203,$A21,FINDINGS!$B$4:$B$203,AS$3))</x:f>
      </x:c>
    </x:row>
    <x:row r="22">
      <x:c r="A22" s="126" t="str">
        <x:f>IF(B22="","","C"&amp;TEXT(ROW()-3,"00"))</x:f>
      </x:c>
      <x:c r="B22" s="119"/>
      <x:c r="C22" s="119"/>
      <x:c r="D22" s="126" t="str">
        <x:f>IF(A22="","",COUNTIF(FINDINGS!$F$4:$F$203,A22))</x:f>
      </x:c>
      <x:c r="E22" s="126" t="str">
        <x:f>IF(A22="","",COUNTIF(P22:AS22,"&gt;0"))</x:f>
      </x:c>
      <x:c r="F22" s="126" t="str">
        <x:f>IF(A22="","",COUNTIFS(FINDINGS!$F$4:$F$203,A22,FINDINGS!$J$4:$J$203,"Supports"))</x:f>
      </x:c>
      <x:c r="G22" s="126" t="str">
        <x:f>IF(A22="","",COUNTIFS(FINDINGS!$F$4:$F$203,A22,FINDINGS!$J$4:$J$203,"Contradicts"))</x:f>
      </x:c>
      <x:c r="H22" s="126" t="str">
        <x:f>IF(A22="","",COUNTIFS(FINDINGS!$F$4:$F$203,A22,FINDINGS!$J$4:$J$203,"Complicates"))</x:f>
      </x:c>
      <x:c r="I22" s="126" t="str">
        <x:f>IF(A22="","",COUNTIFS(FINDINGS!$F$4:$F$203,A22,FINDINGS!$J$4:$J$203,"Context"))</x:f>
      </x:c>
      <x:c r="J22" s="126" t="str">
        <x:f>IF(A22="","",IF(OR(G22&gt;0,H22&gt;0),"Yes","No"))</x:f>
      </x:c>
      <x:c r="K22" s="126" t="str">
        <x:f>IF(A22="","",IF(E22=0,"NO EVIDENCE",IF(E22&lt;2,"THIN",IF(AND(F22&gt;0,G22=0,H22=0),"CHECK BALANCE","SYNTHESIS-READY"))))</x:f>
      </x:c>
      <x:c r="L22" s="126" t="str">
        <x:f>IF(A22="","",IF(OR(G22&gt;0,H22&gt;0),"Yes",IF(E22&lt;2,"Yes","Review")))</x:f>
      </x:c>
      <x:c r="M22" s="119"/>
      <x:c r="N22" s="119"/>
      <x:c r="O22" s="134"/>
      <x:c r="P22" s="134" t="str">
        <x:f>IF(OR($A22="",P$3=""),"",COUNTIFS(FINDINGS!$F$4:$F$203,$A22,FINDINGS!$B$4:$B$203,P$3))</x:f>
      </x:c>
      <x:c r="Q22" s="134" t="str">
        <x:f>IF(OR($A22="",Q$3=""),"",COUNTIFS(FINDINGS!$F$4:$F$203,$A22,FINDINGS!$B$4:$B$203,Q$3))</x:f>
      </x:c>
      <x:c r="R22" s="134" t="str">
        <x:f>IF(OR($A22="",R$3=""),"",COUNTIFS(FINDINGS!$F$4:$F$203,$A22,FINDINGS!$B$4:$B$203,R$3))</x:f>
      </x:c>
      <x:c r="S22" s="134" t="str">
        <x:f>IF(OR($A22="",S$3=""),"",COUNTIFS(FINDINGS!$F$4:$F$203,$A22,FINDINGS!$B$4:$B$203,S$3))</x:f>
      </x:c>
      <x:c r="T22" s="134" t="str">
        <x:f>IF(OR($A22="",T$3=""),"",COUNTIFS(FINDINGS!$F$4:$F$203,$A22,FINDINGS!$B$4:$B$203,T$3))</x:f>
      </x:c>
      <x:c r="U22" s="134" t="str">
        <x:f>IF(OR($A22="",U$3=""),"",COUNTIFS(FINDINGS!$F$4:$F$203,$A22,FINDINGS!$B$4:$B$203,U$3))</x:f>
      </x:c>
      <x:c r="V22" s="134" t="str">
        <x:f>IF(OR($A22="",V$3=""),"",COUNTIFS(FINDINGS!$F$4:$F$203,$A22,FINDINGS!$B$4:$B$203,V$3))</x:f>
      </x:c>
      <x:c r="W22" s="134" t="str">
        <x:f>IF(OR($A22="",W$3=""),"",COUNTIFS(FINDINGS!$F$4:$F$203,$A22,FINDINGS!$B$4:$B$203,W$3))</x:f>
      </x:c>
      <x:c r="X22" s="134" t="str">
        <x:f>IF(OR($A22="",X$3=""),"",COUNTIFS(FINDINGS!$F$4:$F$203,$A22,FINDINGS!$B$4:$B$203,X$3))</x:f>
      </x:c>
      <x:c r="Y22" s="134" t="str">
        <x:f>IF(OR($A22="",Y$3=""),"",COUNTIFS(FINDINGS!$F$4:$F$203,$A22,FINDINGS!$B$4:$B$203,Y$3))</x:f>
      </x:c>
      <x:c r="Z22" s="134" t="str">
        <x:f>IF(OR($A22="",Z$3=""),"",COUNTIFS(FINDINGS!$F$4:$F$203,$A22,FINDINGS!$B$4:$B$203,Z$3))</x:f>
      </x:c>
      <x:c r="AA22" s="134" t="str">
        <x:f>IF(OR($A22="",AA$3=""),"",COUNTIFS(FINDINGS!$F$4:$F$203,$A22,FINDINGS!$B$4:$B$203,AA$3))</x:f>
      </x:c>
      <x:c r="AB22" s="134" t="str">
        <x:f>IF(OR($A22="",AB$3=""),"",COUNTIFS(FINDINGS!$F$4:$F$203,$A22,FINDINGS!$B$4:$B$203,AB$3))</x:f>
      </x:c>
      <x:c r="AC22" s="134" t="str">
        <x:f>IF(OR($A22="",AC$3=""),"",COUNTIFS(FINDINGS!$F$4:$F$203,$A22,FINDINGS!$B$4:$B$203,AC$3))</x:f>
      </x:c>
      <x:c r="AD22" s="134" t="str">
        <x:f>IF(OR($A22="",AD$3=""),"",COUNTIFS(FINDINGS!$F$4:$F$203,$A22,FINDINGS!$B$4:$B$203,AD$3))</x:f>
      </x:c>
      <x:c r="AE22" s="134" t="str">
        <x:f>IF(OR($A22="",AE$3=""),"",COUNTIFS(FINDINGS!$F$4:$F$203,$A22,FINDINGS!$B$4:$B$203,AE$3))</x:f>
      </x:c>
      <x:c r="AF22" s="134" t="str">
        <x:f>IF(OR($A22="",AF$3=""),"",COUNTIFS(FINDINGS!$F$4:$F$203,$A22,FINDINGS!$B$4:$B$203,AF$3))</x:f>
      </x:c>
      <x:c r="AG22" s="134" t="str">
        <x:f>IF(OR($A22="",AG$3=""),"",COUNTIFS(FINDINGS!$F$4:$F$203,$A22,FINDINGS!$B$4:$B$203,AG$3))</x:f>
      </x:c>
      <x:c r="AH22" s="134" t="str">
        <x:f>IF(OR($A22="",AH$3=""),"",COUNTIFS(FINDINGS!$F$4:$F$203,$A22,FINDINGS!$B$4:$B$203,AH$3))</x:f>
      </x:c>
      <x:c r="AI22" s="134" t="str">
        <x:f>IF(OR($A22="",AI$3=""),"",COUNTIFS(FINDINGS!$F$4:$F$203,$A22,FINDINGS!$B$4:$B$203,AI$3))</x:f>
      </x:c>
      <x:c r="AJ22" s="134" t="str">
        <x:f>IF(OR($A22="",AJ$3=""),"",COUNTIFS(FINDINGS!$F$4:$F$203,$A22,FINDINGS!$B$4:$B$203,AJ$3))</x:f>
      </x:c>
      <x:c r="AK22" s="134" t="str">
        <x:f>IF(OR($A22="",AK$3=""),"",COUNTIFS(FINDINGS!$F$4:$F$203,$A22,FINDINGS!$B$4:$B$203,AK$3))</x:f>
      </x:c>
      <x:c r="AL22" s="134" t="str">
        <x:f>IF(OR($A22="",AL$3=""),"",COUNTIFS(FINDINGS!$F$4:$F$203,$A22,FINDINGS!$B$4:$B$203,AL$3))</x:f>
      </x:c>
      <x:c r="AM22" s="134" t="str">
        <x:f>IF(OR($A22="",AM$3=""),"",COUNTIFS(FINDINGS!$F$4:$F$203,$A22,FINDINGS!$B$4:$B$203,AM$3))</x:f>
      </x:c>
      <x:c r="AN22" s="134" t="str">
        <x:f>IF(OR($A22="",AN$3=""),"",COUNTIFS(FINDINGS!$F$4:$F$203,$A22,FINDINGS!$B$4:$B$203,AN$3))</x:f>
      </x:c>
      <x:c r="AO22" s="134" t="str">
        <x:f>IF(OR($A22="",AO$3=""),"",COUNTIFS(FINDINGS!$F$4:$F$203,$A22,FINDINGS!$B$4:$B$203,AO$3))</x:f>
      </x:c>
      <x:c r="AP22" s="134" t="str">
        <x:f>IF(OR($A22="",AP$3=""),"",COUNTIFS(FINDINGS!$F$4:$F$203,$A22,FINDINGS!$B$4:$B$203,AP$3))</x:f>
      </x:c>
      <x:c r="AQ22" s="134" t="str">
        <x:f>IF(OR($A22="",AQ$3=""),"",COUNTIFS(FINDINGS!$F$4:$F$203,$A22,FINDINGS!$B$4:$B$203,AQ$3))</x:f>
      </x:c>
      <x:c r="AR22" s="134" t="str">
        <x:f>IF(OR($A22="",AR$3=""),"",COUNTIFS(FINDINGS!$F$4:$F$203,$A22,FINDINGS!$B$4:$B$203,AR$3))</x:f>
      </x:c>
      <x:c r="AS22" s="134" t="str">
        <x:f>IF(OR($A22="",AS$3=""),"",COUNTIFS(FINDINGS!$F$4:$F$203,$A22,FINDINGS!$B$4:$B$203,AS$3))</x:f>
      </x:c>
    </x:row>
    <x:row r="23">
      <x:c r="A23" s="126" t="str">
        <x:f>IF(B23="","","C"&amp;TEXT(ROW()-3,"00"))</x:f>
      </x:c>
      <x:c r="B23" s="119"/>
      <x:c r="C23" s="119"/>
      <x:c r="D23" s="126" t="str">
        <x:f>IF(A23="","",COUNTIF(FINDINGS!$F$4:$F$203,A23))</x:f>
      </x:c>
      <x:c r="E23" s="126" t="str">
        <x:f>IF(A23="","",COUNTIF(P23:AS23,"&gt;0"))</x:f>
      </x:c>
      <x:c r="F23" s="126" t="str">
        <x:f>IF(A23="","",COUNTIFS(FINDINGS!$F$4:$F$203,A23,FINDINGS!$J$4:$J$203,"Supports"))</x:f>
      </x:c>
      <x:c r="G23" s="126" t="str">
        <x:f>IF(A23="","",COUNTIFS(FINDINGS!$F$4:$F$203,A23,FINDINGS!$J$4:$J$203,"Contradicts"))</x:f>
      </x:c>
      <x:c r="H23" s="126" t="str">
        <x:f>IF(A23="","",COUNTIFS(FINDINGS!$F$4:$F$203,A23,FINDINGS!$J$4:$J$203,"Complicates"))</x:f>
      </x:c>
      <x:c r="I23" s="126" t="str">
        <x:f>IF(A23="","",COUNTIFS(FINDINGS!$F$4:$F$203,A23,FINDINGS!$J$4:$J$203,"Context"))</x:f>
      </x:c>
      <x:c r="J23" s="126" t="str">
        <x:f>IF(A23="","",IF(OR(G23&gt;0,H23&gt;0),"Yes","No"))</x:f>
      </x:c>
      <x:c r="K23" s="126" t="str">
        <x:f>IF(A23="","",IF(E23=0,"NO EVIDENCE",IF(E23&lt;2,"THIN",IF(AND(F23&gt;0,G23=0,H23=0),"CHECK BALANCE","SYNTHESIS-READY"))))</x:f>
      </x:c>
      <x:c r="L23" s="126" t="str">
        <x:f>IF(A23="","",IF(OR(G23&gt;0,H23&gt;0),"Yes",IF(E23&lt;2,"Yes","Review")))</x:f>
      </x:c>
      <x:c r="M23" s="119"/>
      <x:c r="N23" s="119"/>
      <x:c r="O23" s="134"/>
      <x:c r="P23" s="134" t="str">
        <x:f>IF(OR($A23="",P$3=""),"",COUNTIFS(FINDINGS!$F$4:$F$203,$A23,FINDINGS!$B$4:$B$203,P$3))</x:f>
      </x:c>
      <x:c r="Q23" s="134" t="str">
        <x:f>IF(OR($A23="",Q$3=""),"",COUNTIFS(FINDINGS!$F$4:$F$203,$A23,FINDINGS!$B$4:$B$203,Q$3))</x:f>
      </x:c>
      <x:c r="R23" s="134" t="str">
        <x:f>IF(OR($A23="",R$3=""),"",COUNTIFS(FINDINGS!$F$4:$F$203,$A23,FINDINGS!$B$4:$B$203,R$3))</x:f>
      </x:c>
      <x:c r="S23" s="134" t="str">
        <x:f>IF(OR($A23="",S$3=""),"",COUNTIFS(FINDINGS!$F$4:$F$203,$A23,FINDINGS!$B$4:$B$203,S$3))</x:f>
      </x:c>
      <x:c r="T23" s="134" t="str">
        <x:f>IF(OR($A23="",T$3=""),"",COUNTIFS(FINDINGS!$F$4:$F$203,$A23,FINDINGS!$B$4:$B$203,T$3))</x:f>
      </x:c>
      <x:c r="U23" s="134" t="str">
        <x:f>IF(OR($A23="",U$3=""),"",COUNTIFS(FINDINGS!$F$4:$F$203,$A23,FINDINGS!$B$4:$B$203,U$3))</x:f>
      </x:c>
      <x:c r="V23" s="134" t="str">
        <x:f>IF(OR($A23="",V$3=""),"",COUNTIFS(FINDINGS!$F$4:$F$203,$A23,FINDINGS!$B$4:$B$203,V$3))</x:f>
      </x:c>
      <x:c r="W23" s="134" t="str">
        <x:f>IF(OR($A23="",W$3=""),"",COUNTIFS(FINDINGS!$F$4:$F$203,$A23,FINDINGS!$B$4:$B$203,W$3))</x:f>
      </x:c>
      <x:c r="X23" s="134" t="str">
        <x:f>IF(OR($A23="",X$3=""),"",COUNTIFS(FINDINGS!$F$4:$F$203,$A23,FINDINGS!$B$4:$B$203,X$3))</x:f>
      </x:c>
      <x:c r="Y23" s="134" t="str">
        <x:f>IF(OR($A23="",Y$3=""),"",COUNTIFS(FINDINGS!$F$4:$F$203,$A23,FINDINGS!$B$4:$B$203,Y$3))</x:f>
      </x:c>
      <x:c r="Z23" s="134" t="str">
        <x:f>IF(OR($A23="",Z$3=""),"",COUNTIFS(FINDINGS!$F$4:$F$203,$A23,FINDINGS!$B$4:$B$203,Z$3))</x:f>
      </x:c>
      <x:c r="AA23" s="134" t="str">
        <x:f>IF(OR($A23="",AA$3=""),"",COUNTIFS(FINDINGS!$F$4:$F$203,$A23,FINDINGS!$B$4:$B$203,AA$3))</x:f>
      </x:c>
      <x:c r="AB23" s="134" t="str">
        <x:f>IF(OR($A23="",AB$3=""),"",COUNTIFS(FINDINGS!$F$4:$F$203,$A23,FINDINGS!$B$4:$B$203,AB$3))</x:f>
      </x:c>
      <x:c r="AC23" s="134" t="str">
        <x:f>IF(OR($A23="",AC$3=""),"",COUNTIFS(FINDINGS!$F$4:$F$203,$A23,FINDINGS!$B$4:$B$203,AC$3))</x:f>
      </x:c>
      <x:c r="AD23" s="134" t="str">
        <x:f>IF(OR($A23="",AD$3=""),"",COUNTIFS(FINDINGS!$F$4:$F$203,$A23,FINDINGS!$B$4:$B$203,AD$3))</x:f>
      </x:c>
      <x:c r="AE23" s="134" t="str">
        <x:f>IF(OR($A23="",AE$3=""),"",COUNTIFS(FINDINGS!$F$4:$F$203,$A23,FINDINGS!$B$4:$B$203,AE$3))</x:f>
      </x:c>
      <x:c r="AF23" s="134" t="str">
        <x:f>IF(OR($A23="",AF$3=""),"",COUNTIFS(FINDINGS!$F$4:$F$203,$A23,FINDINGS!$B$4:$B$203,AF$3))</x:f>
      </x:c>
      <x:c r="AG23" s="134" t="str">
        <x:f>IF(OR($A23="",AG$3=""),"",COUNTIFS(FINDINGS!$F$4:$F$203,$A23,FINDINGS!$B$4:$B$203,AG$3))</x:f>
      </x:c>
      <x:c r="AH23" s="134" t="str">
        <x:f>IF(OR($A23="",AH$3=""),"",COUNTIFS(FINDINGS!$F$4:$F$203,$A23,FINDINGS!$B$4:$B$203,AH$3))</x:f>
      </x:c>
      <x:c r="AI23" s="134" t="str">
        <x:f>IF(OR($A23="",AI$3=""),"",COUNTIFS(FINDINGS!$F$4:$F$203,$A23,FINDINGS!$B$4:$B$203,AI$3))</x:f>
      </x:c>
      <x:c r="AJ23" s="134" t="str">
        <x:f>IF(OR($A23="",AJ$3=""),"",COUNTIFS(FINDINGS!$F$4:$F$203,$A23,FINDINGS!$B$4:$B$203,AJ$3))</x:f>
      </x:c>
      <x:c r="AK23" s="134" t="str">
        <x:f>IF(OR($A23="",AK$3=""),"",COUNTIFS(FINDINGS!$F$4:$F$203,$A23,FINDINGS!$B$4:$B$203,AK$3))</x:f>
      </x:c>
      <x:c r="AL23" s="134" t="str">
        <x:f>IF(OR($A23="",AL$3=""),"",COUNTIFS(FINDINGS!$F$4:$F$203,$A23,FINDINGS!$B$4:$B$203,AL$3))</x:f>
      </x:c>
      <x:c r="AM23" s="134" t="str">
        <x:f>IF(OR($A23="",AM$3=""),"",COUNTIFS(FINDINGS!$F$4:$F$203,$A23,FINDINGS!$B$4:$B$203,AM$3))</x:f>
      </x:c>
      <x:c r="AN23" s="134" t="str">
        <x:f>IF(OR($A23="",AN$3=""),"",COUNTIFS(FINDINGS!$F$4:$F$203,$A23,FINDINGS!$B$4:$B$203,AN$3))</x:f>
      </x:c>
      <x:c r="AO23" s="134" t="str">
        <x:f>IF(OR($A23="",AO$3=""),"",COUNTIFS(FINDINGS!$F$4:$F$203,$A23,FINDINGS!$B$4:$B$203,AO$3))</x:f>
      </x:c>
      <x:c r="AP23" s="134" t="str">
        <x:f>IF(OR($A23="",AP$3=""),"",COUNTIFS(FINDINGS!$F$4:$F$203,$A23,FINDINGS!$B$4:$B$203,AP$3))</x:f>
      </x:c>
      <x:c r="AQ23" s="134" t="str">
        <x:f>IF(OR($A23="",AQ$3=""),"",COUNTIFS(FINDINGS!$F$4:$F$203,$A23,FINDINGS!$B$4:$B$203,AQ$3))</x:f>
      </x:c>
      <x:c r="AR23" s="134" t="str">
        <x:f>IF(OR($A23="",AR$3=""),"",COUNTIFS(FINDINGS!$F$4:$F$203,$A23,FINDINGS!$B$4:$B$203,AR$3))</x:f>
      </x:c>
      <x:c r="AS23" s="134" t="str">
        <x:f>IF(OR($A23="",AS$3=""),"",COUNTIFS(FINDINGS!$F$4:$F$203,$A23,FINDINGS!$B$4:$B$203,AS$3))</x:f>
      </x:c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AS1"/>
  </x:mergeCells>
  <x:conditionalFormatting sqref="K4:K23">
    <x:cfRule type="expression" dxfId="8" priority="1">
      <x:formula>$K4="NO EVIDENCE"</x:formula>
    </x:cfRule>
    <x:cfRule type="expression" dxfId="9" priority="2">
      <x:formula>$K4="THIN"</x:formula>
    </x:cfRule>
    <x:cfRule type="expression" dxfId="10" priority="3">
      <x:formula>$K4="SYNTHESIS-READY"</x:formula>
    </x:cfRule>
  </x:conditionalFormatting>
  <x:conditionalFormatting sqref="P4:AS23">
    <x:cfRule type="colorScale" priority="4">
      <x:colorScale>
        <x:cfvo type="min"/>
        <x:cfvo type="percentile" val="50"/>
        <x:cfvo type="max"/>
        <x:color rgb="FFFFFFFF"/>
        <x:color rgb="FFEAF3FA"/>
        <x:color rgb="FF7FB3D5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</x:cols>
  <x:sheetData>
    <x:row r="1">
      <x:c r="A1" s="149" t="str">
        <x:v>METHODS — see the methodological shape of the included literature</x:v>
      </x:c>
      <x:c r="B1" s="149"/>
      <x:c r="C1" s="149"/>
      <x:c r="D1" s="149"/>
      <x:c r="E1" s="149"/>
      <x:c r="F1" s="149"/>
      <x:c r="G1" s="149"/>
      <x:c r="H1" s="149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93" t="str">
        <x:v>Method</x:v>
      </x:c>
      <x:c r="B3" s="93" t="str">
        <x:v>Included Sources</x:v>
      </x:c>
      <x:c r="C3" s="93" t="str">
        <x:v>% of Included</x:v>
      </x:c>
      <x:c r="D3" s="93" t="str">
        <x:v>What This Method Can Show</x:v>
      </x:c>
      <x:c r="E3" s="93" t="str">
        <x:v>Interpretive Note</x:v>
      </x:c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91" t="str">
        <x:v>Qualitative / Thematic</x:v>
      </x:c>
      <x:c r="B4" s="97" t="n">
        <x:f>COUNTIFS(SOURCES!$B$4:$B$83,"Include",SOURCES!$K$4:$K$83,A4)</x:f>
        <x:v>0</x:v>
      </x:c>
      <x:c r="C4" s="137" t="n">
        <x:f>IF('REVIEW QUESTION'!$E$6=0,0,B4/'REVIEW QUESTION'!$E$6)</x:f>
        <x:v>0</x:v>
      </x:c>
      <x:c r="D4" s="138"/>
      <x:c r="E4" s="138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91" t="str">
        <x:v>Close Reading / Textual Analysis</x:v>
      </x:c>
      <x:c r="B5" s="97" t="n">
        <x:f>COUNTIFS(SOURCES!$B$4:$B$83,"Include",SOURCES!$K$4:$K$83,A5)</x:f>
        <x:v>0</x:v>
      </x:c>
      <x:c r="C5" s="137" t="n">
        <x:f>IF('REVIEW QUESTION'!$E$6=0,0,B5/'REVIEW QUESTION'!$E$6)</x:f>
        <x:v>0</x:v>
      </x:c>
      <x:c r="D5" s="138"/>
      <x:c r="E5" s="138"/>
      <x:c r="F5" s="91"/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91" t="str">
        <x:v>Archival / Historical</x:v>
      </x:c>
      <x:c r="B6" s="97" t="n">
        <x:f>COUNTIFS(SOURCES!$B$4:$B$83,"Include",SOURCES!$K$4:$K$83,A6)</x:f>
        <x:v>0</x:v>
      </x:c>
      <x:c r="C6" s="137" t="n">
        <x:f>IF('REVIEW QUESTION'!$E$6=0,0,B6/'REVIEW QUESTION'!$E$6)</x:f>
        <x:v>0</x:v>
      </x:c>
      <x:c r="D6" s="138"/>
      <x:c r="E6" s="138"/>
      <x:c r="F6" s="91"/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91" t="str">
        <x:v>Survey</x:v>
      </x:c>
      <x:c r="B7" s="97" t="n">
        <x:f>COUNTIFS(SOURCES!$B$4:$B$83,"Include",SOURCES!$K$4:$K$83,A7)</x:f>
        <x:v>0</x:v>
      </x:c>
      <x:c r="C7" s="137" t="n">
        <x:f>IF('REVIEW QUESTION'!$E$6=0,0,B7/'REVIEW QUESTION'!$E$6)</x:f>
        <x:v>0</x:v>
      </x:c>
      <x:c r="D7" s="138"/>
      <x:c r="E7" s="138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91" t="str">
        <x:v>Interview / Focus Group</x:v>
      </x:c>
      <x:c r="B8" s="97" t="n">
        <x:f>COUNTIFS(SOURCES!$B$4:$B$83,"Include",SOURCES!$K$4:$K$83,A8)</x:f>
        <x:v>0</x:v>
      </x:c>
      <x:c r="C8" s="137" t="n">
        <x:f>IF('REVIEW QUESTION'!$E$6=0,0,B8/'REVIEW QUESTION'!$E$6)</x:f>
        <x:v>0</x:v>
      </x:c>
      <x:c r="D8" s="138"/>
      <x:c r="E8" s="138"/>
      <x:c r="F8" s="91"/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91" t="str">
        <x:v>Experimental / Quasi-Experimental</x:v>
      </x:c>
      <x:c r="B9" s="97" t="n">
        <x:f>COUNTIFS(SOURCES!$B$4:$B$83,"Include",SOURCES!$K$4:$K$83,A9)</x:f>
        <x:v>0</x:v>
      </x:c>
      <x:c r="C9" s="137" t="n">
        <x:f>IF('REVIEW QUESTION'!$E$6=0,0,B9/'REVIEW QUESTION'!$E$6)</x:f>
        <x:v>0</x:v>
      </x:c>
      <x:c r="D9" s="138"/>
      <x:c r="E9" s="138"/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91" t="str">
        <x:v>Observational</x:v>
      </x:c>
      <x:c r="B10" s="97" t="n">
        <x:f>COUNTIFS(SOURCES!$B$4:$B$83,"Include",SOURCES!$K$4:$K$83,A10)</x:f>
        <x:v>0</x:v>
      </x:c>
      <x:c r="C10" s="137" t="n">
        <x:f>IF('REVIEW QUESTION'!$E$6=0,0,B10/'REVIEW QUESTION'!$E$6)</x:f>
        <x:v>0</x:v>
      </x:c>
      <x:c r="D10" s="138"/>
      <x:c r="E10" s="138"/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91" t="str">
        <x:v>Statistical / Quantitative</x:v>
      </x:c>
      <x:c r="B11" s="97" t="n">
        <x:f>COUNTIFS(SOURCES!$B$4:$B$83,"Include",SOURCES!$K$4:$K$83,A11)</x:f>
        <x:v>0</x:v>
      </x:c>
      <x:c r="C11" s="137" t="n">
        <x:f>IF('REVIEW QUESTION'!$E$6=0,0,B11/'REVIEW QUESTION'!$E$6)</x:f>
        <x:v>0</x:v>
      </x:c>
      <x:c r="D11" s="138"/>
      <x:c r="E11" s="138"/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91" t="str">
        <x:v>Mixed Methods</x:v>
      </x:c>
      <x:c r="B12" s="97" t="n">
        <x:f>COUNTIFS(SOURCES!$B$4:$B$83,"Include",SOURCES!$K$4:$K$83,A12)</x:f>
        <x:v>0</x:v>
      </x:c>
      <x:c r="C12" s="137" t="n">
        <x:f>IF('REVIEW QUESTION'!$E$6=0,0,B12/'REVIEW QUESTION'!$E$6)</x:f>
        <x:v>0</x:v>
      </x:c>
      <x:c r="D12" s="138"/>
      <x:c r="E12" s="138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91" t="str">
        <x:v>Review / Meta-Analysis</x:v>
      </x:c>
      <x:c r="B13" s="97" t="n">
        <x:f>COUNTIFS(SOURCES!$B$4:$B$83,"Include",SOURCES!$K$4:$K$83,A13)</x:f>
        <x:v>0</x:v>
      </x:c>
      <x:c r="C13" s="137" t="n">
        <x:f>IF('REVIEW QUESTION'!$E$6=0,0,B13/'REVIEW QUESTION'!$E$6)</x:f>
        <x:v>0</x:v>
      </x:c>
      <x:c r="D13" s="138"/>
      <x:c r="E13" s="138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91" t="str">
        <x:v>Case Study</x:v>
      </x:c>
      <x:c r="B14" s="97" t="n">
        <x:f>COUNTIFS(SOURCES!$B$4:$B$83,"Include",SOURCES!$K$4:$K$83,A14)</x:f>
        <x:v>0</x:v>
      </x:c>
      <x:c r="C14" s="137" t="n">
        <x:f>IF('REVIEW QUESTION'!$E$6=0,0,B14/'REVIEW QUESTION'!$E$6)</x:f>
        <x:v>0</x:v>
      </x:c>
      <x:c r="D14" s="138"/>
      <x:c r="E14" s="138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91" t="str">
        <x:v>Other</x:v>
      </x:c>
      <x:c r="B15" s="97" t="n">
        <x:f>COUNTIFS(SOURCES!$B$4:$B$83,"Include",SOURCES!$K$4:$K$83,A15)</x:f>
        <x:v>0</x:v>
      </x:c>
      <x:c r="C15" s="137" t="n">
        <x:f>IF('REVIEW QUESTION'!$E$6=0,0,B15/'REVIEW QUESTION'!$E$6)</x:f>
        <x:v>0</x:v>
      </x:c>
      <x:c r="D15" s="138"/>
      <x:c r="E15" s="138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102" t="str">
        <x:v>Interpretation prompt</x:v>
      </x:c>
      <x:c r="B18" s="102"/>
      <x:c r="C18" s="102"/>
      <x:c r="D18" s="102"/>
      <x:c r="E18" s="102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103" t="str">
        <x:v>Method balance is descriptive, not automatically good or bad. Ask whether observed disagreements could result from different populations/corpora, measurement choices, historical contexts, definitions, or methods. Use SYNTHESIS to document those explanations before deciding that studies truly conflict.</x:v>
      </x:c>
      <x:c r="B19" s="103"/>
      <x:c r="C19" s="103"/>
      <x:c r="D19" s="103"/>
      <x:c r="E19" s="103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103"/>
      <x:c r="B20" s="103"/>
      <x:c r="C20" s="103"/>
      <x:c r="D20" s="103"/>
      <x:c r="E20" s="103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103"/>
      <x:c r="B21" s="103"/>
      <x:c r="C21" s="103"/>
      <x:c r="D21" s="103"/>
      <x:c r="E21" s="103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103"/>
      <x:c r="B22" s="103"/>
      <x:c r="C22" s="103"/>
      <x:c r="D22" s="103"/>
      <x:c r="E22" s="103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103"/>
      <x:c r="B23" s="103"/>
      <x:c r="C23" s="103"/>
      <x:c r="D23" s="103"/>
      <x:c r="E23" s="103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H1"/>
    <x:mergeCell ref="A18:E18"/>
    <x:mergeCell ref="A19:E23"/>
  </x:mergeCells>
  <x:pageMargins left="0.7" right="0.7" top="0.75" bottom="0.75" header="0.3" footer="0.3"/>
  <x:drawing xmlns:r="http://schemas.openxmlformats.org/officeDocument/2006/relationships" r:id="R164368bdaa4543e0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10" hidden="0" customWidth="1"/>
    <x:col min="5" max="5" width="11" hidden="0" customWidth="1"/>
    <x:col min="6" max="6" width="12" hidden="0" customWidth="1"/>
    <x:col min="7" max="7" width="12" hidden="0" customWidth="1"/>
    <x:col min="8" max="8" width="10" hidden="0" customWidth="1"/>
    <x:col min="9" max="9" width="38" hidden="0" customWidth="1"/>
    <x:col min="10" max="10" width="38" hidden="0" customWidth="1"/>
    <x:col min="11" max="11" width="40" hidden="0" customWidth="1"/>
    <x:col min="12" max="12" width="34" hidden="0" customWidth="1"/>
    <x:col min="13" max="13" width="34" hidden="0" customWidth="1"/>
    <x:col min="14" max="14" width="46" hidden="0" customWidth="1"/>
    <x:col min="15" max="15" width="32" hidden="0" customWidth="1"/>
    <x:col min="16" max="16" width="16" hidden="0" customWidth="1"/>
  </x:cols>
  <x:sheetData>
    <x:row r="1">
      <x:c r="A1" s="149" t="str">
        <x:v>SYNTHESIS — pattern → disagreement → explanation → anomaly → gap → qualified claim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Theme ID</x:v>
      </x:c>
      <x:c r="B3" s="125" t="str">
        <x:v>Theme</x:v>
      </x:c>
      <x:c r="C3" s="125" t="str">
        <x:v>Sources</x:v>
      </x:c>
      <x:c r="D3" s="125" t="str">
        <x:v>Findings</x:v>
      </x:c>
      <x:c r="E3" s="125" t="str">
        <x:v>Supports</x:v>
      </x:c>
      <x:c r="F3" s="125" t="str">
        <x:v>Contradicts</x:v>
      </x:c>
      <x:c r="G3" s="125" t="str">
        <x:v>Complicates</x:v>
      </x:c>
      <x:c r="H3" s="125" t="str">
        <x:v>Context</x:v>
      </x:c>
      <x:c r="I3" s="125" t="str">
        <x:v>Pattern / Consensus</x:v>
      </x:c>
      <x:c r="J3" s="125" t="str">
        <x:v>Meaningful Disagreement</x:v>
      </x:c>
      <x:c r="K3" s="125" t="str">
        <x:v>Method / Context Explanation</x:v>
      </x:c>
      <x:c r="L3" s="125" t="str">
        <x:v>Anomaly / Outlier</x:v>
      </x:c>
      <x:c r="M3" s="125" t="str">
        <x:v>Gap / Missing Evidence</x:v>
      </x:c>
      <x:c r="N3" s="125" t="str">
        <x:v>Qualified Synthesis Statement</x:v>
      </x:c>
      <x:c r="O3" s="125" t="str">
        <x:v>Confidence / Caveat</x:v>
      </x:c>
      <x:c r="P3" s="125" t="str">
        <x:v>Draft Status</x:v>
      </x:c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26" t="str">
        <x:f>IF(THEMES!B4="","",THEMES!A4)</x:f>
      </x:c>
      <x:c r="B4" s="126" t="str">
        <x:f>IF(THEMES!B4="","",THEMES!B4)</x:f>
      </x:c>
      <x:c r="C4" s="126" t="str">
        <x:f>IF(THEMES!B4="","",THEMES!H4)</x:f>
      </x:c>
      <x:c r="D4" s="126" t="str">
        <x:f>IF(THEMES!B4="","",THEMES!G4)</x:f>
      </x:c>
      <x:c r="E4" s="126" t="str">
        <x:f>IF(THEMES!B4="","",THEMES!I4)</x:f>
      </x:c>
      <x:c r="F4" s="126" t="str">
        <x:f>IF(THEMES!B4="","",THEMES!J4)</x:f>
      </x:c>
      <x:c r="G4" s="126" t="str">
        <x:f>IF(THEMES!B4="","",THEMES!K4)</x:f>
      </x:c>
      <x:c r="H4" s="126" t="str">
        <x:f>IF(THEMES!B4="","",THEMES!L4)</x:f>
      </x:c>
      <x:c r="I4" s="119"/>
      <x:c r="J4" s="119"/>
      <x:c r="K4" s="119"/>
      <x:c r="L4" s="119"/>
      <x:c r="M4" s="119"/>
      <x:c r="N4" s="119"/>
      <x:c r="O4" s="119"/>
      <x:c r="P4" s="119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26" t="str">
        <x:f>IF(THEMES!B5="","",THEMES!A5)</x:f>
      </x:c>
      <x:c r="B5" s="126" t="str">
        <x:f>IF(THEMES!B5="","",THEMES!B5)</x:f>
      </x:c>
      <x:c r="C5" s="126" t="str">
        <x:f>IF(THEMES!B5="","",THEMES!H5)</x:f>
      </x:c>
      <x:c r="D5" s="126" t="str">
        <x:f>IF(THEMES!B5="","",THEMES!G5)</x:f>
      </x:c>
      <x:c r="E5" s="126" t="str">
        <x:f>IF(THEMES!B5="","",THEMES!I5)</x:f>
      </x:c>
      <x:c r="F5" s="126" t="str">
        <x:f>IF(THEMES!B5="","",THEMES!J5)</x:f>
      </x:c>
      <x:c r="G5" s="126" t="str">
        <x:f>IF(THEMES!B5="","",THEMES!K5)</x:f>
      </x:c>
      <x:c r="H5" s="126" t="str">
        <x:f>IF(THEMES!B5="","",THEMES!L5)</x:f>
      </x:c>
      <x:c r="I5" s="119"/>
      <x:c r="J5" s="119"/>
      <x:c r="K5" s="119"/>
      <x:c r="L5" s="119"/>
      <x:c r="M5" s="119"/>
      <x:c r="N5" s="119"/>
      <x:c r="O5" s="119"/>
      <x:c r="P5" s="119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26" t="str">
        <x:f>IF(THEMES!B6="","",THEMES!A6)</x:f>
      </x:c>
      <x:c r="B6" s="126" t="str">
        <x:f>IF(THEMES!B6="","",THEMES!B6)</x:f>
      </x:c>
      <x:c r="C6" s="126" t="str">
        <x:f>IF(THEMES!B6="","",THEMES!H6)</x:f>
      </x:c>
      <x:c r="D6" s="126" t="str">
        <x:f>IF(THEMES!B6="","",THEMES!G6)</x:f>
      </x:c>
      <x:c r="E6" s="126" t="str">
        <x:f>IF(THEMES!B6="","",THEMES!I6)</x:f>
      </x:c>
      <x:c r="F6" s="126" t="str">
        <x:f>IF(THEMES!B6="","",THEMES!J6)</x:f>
      </x:c>
      <x:c r="G6" s="126" t="str">
        <x:f>IF(THEMES!B6="","",THEMES!K6)</x:f>
      </x:c>
      <x:c r="H6" s="126" t="str">
        <x:f>IF(THEMES!B6="","",THEMES!L6)</x:f>
      </x:c>
      <x:c r="I6" s="119"/>
      <x:c r="J6" s="119"/>
      <x:c r="K6" s="119"/>
      <x:c r="L6" s="119"/>
      <x:c r="M6" s="119"/>
      <x:c r="N6" s="119"/>
      <x:c r="O6" s="119"/>
      <x:c r="P6" s="119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26" t="str">
        <x:f>IF(THEMES!B7="","",THEMES!A7)</x:f>
      </x:c>
      <x:c r="B7" s="126" t="str">
        <x:f>IF(THEMES!B7="","",THEMES!B7)</x:f>
      </x:c>
      <x:c r="C7" s="126" t="str">
        <x:f>IF(THEMES!B7="","",THEMES!H7)</x:f>
      </x:c>
      <x:c r="D7" s="126" t="str">
        <x:f>IF(THEMES!B7="","",THEMES!G7)</x:f>
      </x:c>
      <x:c r="E7" s="126" t="str">
        <x:f>IF(THEMES!B7="","",THEMES!I7)</x:f>
      </x:c>
      <x:c r="F7" s="126" t="str">
        <x:f>IF(THEMES!B7="","",THEMES!J7)</x:f>
      </x:c>
      <x:c r="G7" s="126" t="str">
        <x:f>IF(THEMES!B7="","",THEMES!K7)</x:f>
      </x:c>
      <x:c r="H7" s="126" t="str">
        <x:f>IF(THEMES!B7="","",THEMES!L7)</x:f>
      </x:c>
      <x:c r="I7" s="119"/>
      <x:c r="J7" s="119"/>
      <x:c r="K7" s="119"/>
      <x:c r="L7" s="119"/>
      <x:c r="M7" s="119"/>
      <x:c r="N7" s="119"/>
      <x:c r="O7" s="119"/>
      <x:c r="P7" s="119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26" t="str">
        <x:f>IF(THEMES!B8="","",THEMES!A8)</x:f>
      </x:c>
      <x:c r="B8" s="126" t="str">
        <x:f>IF(THEMES!B8="","",THEMES!B8)</x:f>
      </x:c>
      <x:c r="C8" s="126" t="str">
        <x:f>IF(THEMES!B8="","",THEMES!H8)</x:f>
      </x:c>
      <x:c r="D8" s="126" t="str">
        <x:f>IF(THEMES!B8="","",THEMES!G8)</x:f>
      </x:c>
      <x:c r="E8" s="126" t="str">
        <x:f>IF(THEMES!B8="","",THEMES!I8)</x:f>
      </x:c>
      <x:c r="F8" s="126" t="str">
        <x:f>IF(THEMES!B8="","",THEMES!J8)</x:f>
      </x:c>
      <x:c r="G8" s="126" t="str">
        <x:f>IF(THEMES!B8="","",THEMES!K8)</x:f>
      </x:c>
      <x:c r="H8" s="126" t="str">
        <x:f>IF(THEMES!B8="","",THEMES!L8)</x:f>
      </x:c>
      <x:c r="I8" s="119"/>
      <x:c r="J8" s="119"/>
      <x:c r="K8" s="119"/>
      <x:c r="L8" s="119"/>
      <x:c r="M8" s="119"/>
      <x:c r="N8" s="119"/>
      <x:c r="O8" s="119"/>
      <x:c r="P8" s="119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26" t="str">
        <x:f>IF(THEMES!B9="","",THEMES!A9)</x:f>
      </x:c>
      <x:c r="B9" s="126" t="str">
        <x:f>IF(THEMES!B9="","",THEMES!B9)</x:f>
      </x:c>
      <x:c r="C9" s="126" t="str">
        <x:f>IF(THEMES!B9="","",THEMES!H9)</x:f>
      </x:c>
      <x:c r="D9" s="126" t="str">
        <x:f>IF(THEMES!B9="","",THEMES!G9)</x:f>
      </x:c>
      <x:c r="E9" s="126" t="str">
        <x:f>IF(THEMES!B9="","",THEMES!I9)</x:f>
      </x:c>
      <x:c r="F9" s="126" t="str">
        <x:f>IF(THEMES!B9="","",THEMES!J9)</x:f>
      </x:c>
      <x:c r="G9" s="126" t="str">
        <x:f>IF(THEMES!B9="","",THEMES!K9)</x:f>
      </x:c>
      <x:c r="H9" s="126" t="str">
        <x:f>IF(THEMES!B9="","",THEMES!L9)</x:f>
      </x:c>
      <x:c r="I9" s="119"/>
      <x:c r="J9" s="119"/>
      <x:c r="K9" s="119"/>
      <x:c r="L9" s="119"/>
      <x:c r="M9" s="119"/>
      <x:c r="N9" s="119"/>
      <x:c r="O9" s="119"/>
      <x:c r="P9" s="119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26" t="str">
        <x:f>IF(THEMES!B10="","",THEMES!A10)</x:f>
      </x:c>
      <x:c r="B10" s="126" t="str">
        <x:f>IF(THEMES!B10="","",THEMES!B10)</x:f>
      </x:c>
      <x:c r="C10" s="126" t="str">
        <x:f>IF(THEMES!B10="","",THEMES!H10)</x:f>
      </x:c>
      <x:c r="D10" s="126" t="str">
        <x:f>IF(THEMES!B10="","",THEMES!G10)</x:f>
      </x:c>
      <x:c r="E10" s="126" t="str">
        <x:f>IF(THEMES!B10="","",THEMES!I10)</x:f>
      </x:c>
      <x:c r="F10" s="126" t="str">
        <x:f>IF(THEMES!B10="","",THEMES!J10)</x:f>
      </x:c>
      <x:c r="G10" s="126" t="str">
        <x:f>IF(THEMES!B10="","",THEMES!K10)</x:f>
      </x:c>
      <x:c r="H10" s="126" t="str">
        <x:f>IF(THEMES!B10="","",THEMES!L10)</x:f>
      </x:c>
      <x:c r="I10" s="119"/>
      <x:c r="J10" s="119"/>
      <x:c r="K10" s="119"/>
      <x:c r="L10" s="119"/>
      <x:c r="M10" s="119"/>
      <x:c r="N10" s="119"/>
      <x:c r="O10" s="119"/>
      <x:c r="P10" s="119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26" t="str">
        <x:f>IF(THEMES!B11="","",THEMES!A11)</x:f>
      </x:c>
      <x:c r="B11" s="126" t="str">
        <x:f>IF(THEMES!B11="","",THEMES!B11)</x:f>
      </x:c>
      <x:c r="C11" s="126" t="str">
        <x:f>IF(THEMES!B11="","",THEMES!H11)</x:f>
      </x:c>
      <x:c r="D11" s="126" t="str">
        <x:f>IF(THEMES!B11="","",THEMES!G11)</x:f>
      </x:c>
      <x:c r="E11" s="126" t="str">
        <x:f>IF(THEMES!B11="","",THEMES!I11)</x:f>
      </x:c>
      <x:c r="F11" s="126" t="str">
        <x:f>IF(THEMES!B11="","",THEMES!J11)</x:f>
      </x:c>
      <x:c r="G11" s="126" t="str">
        <x:f>IF(THEMES!B11="","",THEMES!K11)</x:f>
      </x:c>
      <x:c r="H11" s="126" t="str">
        <x:f>IF(THEMES!B11="","",THEMES!L11)</x:f>
      </x:c>
      <x:c r="I11" s="119"/>
      <x:c r="J11" s="119"/>
      <x:c r="K11" s="119"/>
      <x:c r="L11" s="119"/>
      <x:c r="M11" s="119"/>
      <x:c r="N11" s="119"/>
      <x:c r="O11" s="119"/>
      <x:c r="P11" s="119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26" t="str">
        <x:f>IF(THEMES!B12="","",THEMES!A12)</x:f>
      </x:c>
      <x:c r="B12" s="126" t="str">
        <x:f>IF(THEMES!B12="","",THEMES!B12)</x:f>
      </x:c>
      <x:c r="C12" s="126" t="str">
        <x:f>IF(THEMES!B12="","",THEMES!H12)</x:f>
      </x:c>
      <x:c r="D12" s="126" t="str">
        <x:f>IF(THEMES!B12="","",THEMES!G12)</x:f>
      </x:c>
      <x:c r="E12" s="126" t="str">
        <x:f>IF(THEMES!B12="","",THEMES!I12)</x:f>
      </x:c>
      <x:c r="F12" s="126" t="str">
        <x:f>IF(THEMES!B12="","",THEMES!J12)</x:f>
      </x:c>
      <x:c r="G12" s="126" t="str">
        <x:f>IF(THEMES!B12="","",THEMES!K12)</x:f>
      </x:c>
      <x:c r="H12" s="126" t="str">
        <x:f>IF(THEMES!B12="","",THEMES!L12)</x:f>
      </x:c>
      <x:c r="I12" s="119"/>
      <x:c r="J12" s="119"/>
      <x:c r="K12" s="119"/>
      <x:c r="L12" s="119"/>
      <x:c r="M12" s="119"/>
      <x:c r="N12" s="119"/>
      <x:c r="O12" s="119"/>
      <x:c r="P12" s="119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26" t="str">
        <x:f>IF(THEMES!B13="","",THEMES!A13)</x:f>
      </x:c>
      <x:c r="B13" s="126" t="str">
        <x:f>IF(THEMES!B13="","",THEMES!B13)</x:f>
      </x:c>
      <x:c r="C13" s="126" t="str">
        <x:f>IF(THEMES!B13="","",THEMES!H13)</x:f>
      </x:c>
      <x:c r="D13" s="126" t="str">
        <x:f>IF(THEMES!B13="","",THEMES!G13)</x:f>
      </x:c>
      <x:c r="E13" s="126" t="str">
        <x:f>IF(THEMES!B13="","",THEMES!I13)</x:f>
      </x:c>
      <x:c r="F13" s="126" t="str">
        <x:f>IF(THEMES!B13="","",THEMES!J13)</x:f>
      </x:c>
      <x:c r="G13" s="126" t="str">
        <x:f>IF(THEMES!B13="","",THEMES!K13)</x:f>
      </x:c>
      <x:c r="H13" s="126" t="str">
        <x:f>IF(THEMES!B13="","",THEMES!L13)</x:f>
      </x:c>
      <x:c r="I13" s="119"/>
      <x:c r="J13" s="119"/>
      <x:c r="K13" s="119"/>
      <x:c r="L13" s="119"/>
      <x:c r="M13" s="119"/>
      <x:c r="N13" s="119"/>
      <x:c r="O13" s="119"/>
      <x:c r="P13" s="119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26" t="str">
        <x:f>IF(THEMES!B14="","",THEMES!A14)</x:f>
      </x:c>
      <x:c r="B14" s="126" t="str">
        <x:f>IF(THEMES!B14="","",THEMES!B14)</x:f>
      </x:c>
      <x:c r="C14" s="126" t="str">
        <x:f>IF(THEMES!B14="","",THEMES!H14)</x:f>
      </x:c>
      <x:c r="D14" s="126" t="str">
        <x:f>IF(THEMES!B14="","",THEMES!G14)</x:f>
      </x:c>
      <x:c r="E14" s="126" t="str">
        <x:f>IF(THEMES!B14="","",THEMES!I14)</x:f>
      </x:c>
      <x:c r="F14" s="126" t="str">
        <x:f>IF(THEMES!B14="","",THEMES!J14)</x:f>
      </x:c>
      <x:c r="G14" s="126" t="str">
        <x:f>IF(THEMES!B14="","",THEMES!K14)</x:f>
      </x:c>
      <x:c r="H14" s="126" t="str">
        <x:f>IF(THEMES!B14="","",THEMES!L14)</x:f>
      </x:c>
      <x:c r="I14" s="119"/>
      <x:c r="J14" s="119"/>
      <x:c r="K14" s="119"/>
      <x:c r="L14" s="119"/>
      <x:c r="M14" s="119"/>
      <x:c r="N14" s="119"/>
      <x:c r="O14" s="119"/>
      <x:c r="P14" s="119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126" t="str">
        <x:f>IF(THEMES!B15="","",THEMES!A15)</x:f>
      </x:c>
      <x:c r="B15" s="126" t="str">
        <x:f>IF(THEMES!B15="","",THEMES!B15)</x:f>
      </x:c>
      <x:c r="C15" s="126" t="str">
        <x:f>IF(THEMES!B15="","",THEMES!H15)</x:f>
      </x:c>
      <x:c r="D15" s="126" t="str">
        <x:f>IF(THEMES!B15="","",THEMES!G15)</x:f>
      </x:c>
      <x:c r="E15" s="126" t="str">
        <x:f>IF(THEMES!B15="","",THEMES!I15)</x:f>
      </x:c>
      <x:c r="F15" s="126" t="str">
        <x:f>IF(THEMES!B15="","",THEMES!J15)</x:f>
      </x:c>
      <x:c r="G15" s="126" t="str">
        <x:f>IF(THEMES!B15="","",THEMES!K15)</x:f>
      </x:c>
      <x:c r="H15" s="126" t="str">
        <x:f>IF(THEMES!B15="","",THEMES!L15)</x:f>
      </x:c>
      <x:c r="I15" s="119"/>
      <x:c r="J15" s="119"/>
      <x:c r="K15" s="119"/>
      <x:c r="L15" s="119"/>
      <x:c r="M15" s="119"/>
      <x:c r="N15" s="119"/>
      <x:c r="O15" s="119"/>
      <x:c r="P15" s="119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P1"/>
  </x:mergeCells>
  <x:conditionalFormatting sqref="P4:P15">
    <x:cfRule type="expression" dxfId="11" priority="1">
      <x:formula>$P4="Complete"</x:formula>
    </x:cfRule>
    <x:cfRule type="expression" dxfId="12" priority="2">
      <x:formula>$P4="Needs Review"</x:formula>
    </x:cfRule>
  </x:conditionalFormatting>
  <x:dataValidations count="1">
    <x:dataValidation type="list" sqref="P4:P15">
      <x:formula1>_LISTS!$H$2:$H$7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38" hidden="0" customWidth="1"/>
    <x:col min="5" max="5" width="36" hidden="0" customWidth="1"/>
    <x:col min="6" max="6" width="34" hidden="0" customWidth="1"/>
    <x:col min="7" max="7" width="38" hidden="0" customWidth="1"/>
    <x:col min="8" max="8" width="12" hidden="0" customWidth="1"/>
    <x:col min="9" max="9" width="16" hidden="0" customWidth="1"/>
    <x:col min="10" max="10" width="28" hidden="0" customWidth="1"/>
  </x:cols>
  <x:sheetData>
    <x:row r="1">
      <x:c r="A1" s="149" t="str">
        <x:v>GAPS — make missing evidence explicit and actionable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93" t="str">
        <x:v>Gap ID</x:v>
      </x:c>
      <x:c r="B3" s="93" t="str">
        <x:v>Gap Type</x:v>
      </x:c>
      <x:c r="C3" s="93" t="str">
        <x:v>Theme / Claim ID</x:v>
      </x:c>
      <x:c r="D3" s="93" t="str">
        <x:v>Description</x:v>
      </x:c>
      <x:c r="E3" s="93" t="str">
        <x:v>Evidence of Gap</x:v>
      </x:c>
      <x:c r="F3" s="93" t="str">
        <x:v>Why It Matters</x:v>
      </x:c>
      <x:c r="G3" s="93" t="str">
        <x:v>Next Step / Research Need</x:v>
      </x:c>
      <x:c r="H3" s="93" t="str">
        <x:v>Priority</x:v>
      </x:c>
      <x:c r="I3" s="93" t="str">
        <x:v>Status</x:v>
      </x:c>
      <x:c r="J3" s="93" t="str">
        <x:v>Notes</x:v>
      </x:c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97" t="str">
        <x:f>IF(D4="","","G"&amp;TEXT(ROW()-3,"00"))</x:f>
      </x:c>
      <x:c r="B4" s="119"/>
      <x:c r="C4" s="119"/>
      <x:c r="D4" s="119"/>
      <x:c r="E4" s="119"/>
      <x:c r="F4" s="119"/>
      <x:c r="G4" s="119"/>
      <x:c r="H4" s="119"/>
      <x:c r="I4" s="119"/>
      <x:c r="J4" s="119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97" t="str">
        <x:f>IF(D5="","","G"&amp;TEXT(ROW()-3,"00"))</x:f>
      </x:c>
      <x:c r="B5" s="119"/>
      <x:c r="C5" s="119"/>
      <x:c r="D5" s="119"/>
      <x:c r="E5" s="119"/>
      <x:c r="F5" s="119"/>
      <x:c r="G5" s="119"/>
      <x:c r="H5" s="119"/>
      <x:c r="I5" s="119"/>
      <x:c r="J5" s="119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97" t="str">
        <x:f>IF(D6="","","G"&amp;TEXT(ROW()-3,"00"))</x:f>
      </x:c>
      <x:c r="B6" s="119"/>
      <x:c r="C6" s="119"/>
      <x:c r="D6" s="119"/>
      <x:c r="E6" s="119"/>
      <x:c r="F6" s="119"/>
      <x:c r="G6" s="119"/>
      <x:c r="H6" s="119"/>
      <x:c r="I6" s="119"/>
      <x:c r="J6" s="119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97" t="str">
        <x:f>IF(D7="","","G"&amp;TEXT(ROW()-3,"00"))</x:f>
      </x:c>
      <x:c r="B7" s="119"/>
      <x:c r="C7" s="119"/>
      <x:c r="D7" s="119"/>
      <x:c r="E7" s="119"/>
      <x:c r="F7" s="119"/>
      <x:c r="G7" s="119"/>
      <x:c r="H7" s="119"/>
      <x:c r="I7" s="119"/>
      <x:c r="J7" s="119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97" t="str">
        <x:f>IF(D8="","","G"&amp;TEXT(ROW()-3,"00"))</x:f>
      </x:c>
      <x:c r="B8" s="119"/>
      <x:c r="C8" s="119"/>
      <x:c r="D8" s="119"/>
      <x:c r="E8" s="119"/>
      <x:c r="F8" s="119"/>
      <x:c r="G8" s="119"/>
      <x:c r="H8" s="119"/>
      <x:c r="I8" s="119"/>
      <x:c r="J8" s="119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97" t="str">
        <x:f>IF(D9="","","G"&amp;TEXT(ROW()-3,"00"))</x:f>
      </x:c>
      <x:c r="B9" s="119"/>
      <x:c r="C9" s="119"/>
      <x:c r="D9" s="119"/>
      <x:c r="E9" s="119"/>
      <x:c r="F9" s="119"/>
      <x:c r="G9" s="119"/>
      <x:c r="H9" s="119"/>
      <x:c r="I9" s="119"/>
      <x:c r="J9" s="119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97" t="str">
        <x:f>IF(D10="","","G"&amp;TEXT(ROW()-3,"00"))</x:f>
      </x:c>
      <x:c r="B10" s="119"/>
      <x:c r="C10" s="119"/>
      <x:c r="D10" s="119"/>
      <x:c r="E10" s="119"/>
      <x:c r="F10" s="119"/>
      <x:c r="G10" s="119"/>
      <x:c r="H10" s="119"/>
      <x:c r="I10" s="119"/>
      <x:c r="J10" s="119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97" t="str">
        <x:f>IF(D11="","","G"&amp;TEXT(ROW()-3,"00"))</x:f>
      </x:c>
      <x:c r="B11" s="119"/>
      <x:c r="C11" s="119"/>
      <x:c r="D11" s="119"/>
      <x:c r="E11" s="119"/>
      <x:c r="F11" s="119"/>
      <x:c r="G11" s="119"/>
      <x:c r="H11" s="119"/>
      <x:c r="I11" s="119"/>
      <x:c r="J11" s="119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97" t="str">
        <x:f>IF(D12="","","G"&amp;TEXT(ROW()-3,"00"))</x:f>
      </x:c>
      <x:c r="B12" s="119"/>
      <x:c r="C12" s="119"/>
      <x:c r="D12" s="119"/>
      <x:c r="E12" s="119"/>
      <x:c r="F12" s="119"/>
      <x:c r="G12" s="119"/>
      <x:c r="H12" s="119"/>
      <x:c r="I12" s="119"/>
      <x:c r="J12" s="119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97" t="str">
        <x:f>IF(D13="","","G"&amp;TEXT(ROW()-3,"00"))</x:f>
      </x:c>
      <x:c r="B13" s="119"/>
      <x:c r="C13" s="119"/>
      <x:c r="D13" s="119"/>
      <x:c r="E13" s="119"/>
      <x:c r="F13" s="119"/>
      <x:c r="G13" s="119"/>
      <x:c r="H13" s="119"/>
      <x:c r="I13" s="119"/>
      <x:c r="J13" s="119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97" t="str">
        <x:f>IF(D14="","","G"&amp;TEXT(ROW()-3,"00"))</x:f>
      </x:c>
      <x:c r="B14" s="119"/>
      <x:c r="C14" s="119"/>
      <x:c r="D14" s="119"/>
      <x:c r="E14" s="119"/>
      <x:c r="F14" s="119"/>
      <x:c r="G14" s="119"/>
      <x:c r="H14" s="119"/>
      <x:c r="I14" s="119"/>
      <x:c r="J14" s="119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97" t="str">
        <x:f>IF(D15="","","G"&amp;TEXT(ROW()-3,"00"))</x:f>
      </x:c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97" t="str">
        <x:f>IF(D16="","","G"&amp;TEXT(ROW()-3,"00"))</x:f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7" t="str">
        <x:f>IF(D17="","","G"&amp;TEXT(ROW()-3,"00"))</x:f>
      </x:c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7" t="str">
        <x:f>IF(D18="","","G"&amp;TEXT(ROW()-3,"00"))</x:f>
      </x:c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7" t="str">
        <x:f>IF(D19="","","G"&amp;TEXT(ROW()-3,"00"))</x:f>
      </x:c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7" t="str">
        <x:f>IF(D20="","","G"&amp;TEXT(ROW()-3,"00"))</x:f>
      </x:c>
      <x:c r="B20" s="119"/>
      <x:c r="C20" s="119"/>
      <x:c r="D20" s="119"/>
      <x:c r="E20" s="119"/>
      <x:c r="F20" s="119"/>
      <x:c r="G20" s="119"/>
      <x:c r="H20" s="119"/>
      <x:c r="I20" s="119"/>
      <x:c r="J20" s="119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7" t="str">
        <x:f>IF(D21="","","G"&amp;TEXT(ROW()-3,"00"))</x:f>
      </x:c>
      <x:c r="B21" s="119"/>
      <x:c r="C21" s="119"/>
      <x:c r="D21" s="119"/>
      <x:c r="E21" s="119"/>
      <x:c r="F21" s="119"/>
      <x:c r="G21" s="119"/>
      <x:c r="H21" s="119"/>
      <x:c r="I21" s="119"/>
      <x:c r="J21" s="119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7" t="str">
        <x:f>IF(D22="","","G"&amp;TEXT(ROW()-3,"00"))</x:f>
      </x:c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7" t="str">
        <x:f>IF(D23="","","G"&amp;TEXT(ROW()-3,"00"))</x:f>
      </x:c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7" t="str">
        <x:f>IF(D24="","","G"&amp;TEXT(ROW()-3,"00"))</x:f>
      </x:c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7" t="str">
        <x:f>IF(D25="","","G"&amp;TEXT(ROW()-3,"00"))</x:f>
      </x:c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7" t="str">
        <x:f>IF(D26="","","G"&amp;TEXT(ROW()-3,"00"))</x:f>
      </x:c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7" t="str">
        <x:f>IF(D27="","","G"&amp;TEXT(ROW()-3,"00"))</x:f>
      </x:c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7" t="str">
        <x:f>IF(D28="","","G"&amp;TEXT(ROW()-3,"00"))</x:f>
      </x:c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7" t="str">
        <x:f>IF(D29="","","G"&amp;TEXT(ROW()-3,"00"))</x:f>
      </x:c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7" t="str">
        <x:f>IF(D30="","","G"&amp;TEXT(ROW()-3,"00"))</x:f>
      </x:c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7" t="str">
        <x:f>IF(D31="","","G"&amp;TEXT(ROW()-3,"00"))</x:f>
      </x:c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7" t="str">
        <x:f>IF(D32="","","G"&amp;TEXT(ROW()-3,"00"))</x:f>
      </x:c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7" t="str">
        <x:f>IF(D33="","","G"&amp;TEXT(ROW()-3,"00"))</x:f>
      </x:c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7" t="str">
        <x:f>IF(D34="","","G"&amp;TEXT(ROW()-3,"00"))</x:f>
      </x:c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7" t="str">
        <x:f>IF(D35="","","G"&amp;TEXT(ROW()-3,"00"))</x:f>
      </x:c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7" t="str">
        <x:f>IF(D36="","","G"&amp;TEXT(ROW()-3,"00"))</x:f>
      </x:c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7" t="str">
        <x:f>IF(D37="","","G"&amp;TEXT(ROW()-3,"00"))</x:f>
      </x:c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7" t="str">
        <x:f>IF(D38="","","G"&amp;TEXT(ROW()-3,"00"))</x:f>
      </x:c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7" t="str">
        <x:f>IF(D39="","","G"&amp;TEXT(ROW()-3,"00"))</x:f>
      </x:c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7" t="str">
        <x:f>IF(D40="","","G"&amp;TEXT(ROW()-3,"00"))</x:f>
      </x:c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7" t="str">
        <x:f>IF(D41="","","G"&amp;TEXT(ROW()-3,"00"))</x:f>
      </x:c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7" t="str">
        <x:f>IF(D42="","","G"&amp;TEXT(ROW()-3,"00"))</x:f>
      </x:c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7" t="str">
        <x:f>IF(D43="","","G"&amp;TEXT(ROW()-3,"00"))</x:f>
      </x:c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J1"/>
  </x:mergeCells>
  <x:conditionalFormatting sqref="H4:H43">
    <x:cfRule type="expression" dxfId="13" priority="1">
      <x:formula>$H4="Critical"</x:formula>
    </x:cfRule>
    <x:cfRule type="expression" dxfId="14" priority="2">
      <x:formula>$H4="High"</x:formula>
    </x:cfRule>
  </x:conditionalFormatting>
  <x:dataValidations count="3">
    <x:dataValidation type="list" sqref="B4:B43">
      <x:formula1>_LISTS!$I$2:$I$11</x:formula1>
    </x:dataValidation>
    <x:dataValidation type="list" sqref="H4:H43">
      <x:formula1>_LISTS!$G$2:$G$5</x:formula1>
    </x:dataValidation>
    <x:dataValidation type="list" sqref="I4:I43">
      <x:formula1>_LISTS!$H$2:$H$7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3b5465d3fe4f2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30" hidden="0" customWidth="1"/>
    <x:col min="4" max="4" width="15" hidden="0" customWidth="1"/>
    <x:col min="5" max="5" width="15" hidden="0" customWidth="1"/>
    <x:col min="6" max="6" width="46" hidden="0" customWidth="1"/>
    <x:col min="7" max="7" width="16" hidden="0" customWidth="1"/>
    <x:col min="8" max="8" width="18" hidden="0" customWidth="1"/>
    <x:col min="9" max="9" width="38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28" hidden="0" customWidth="1"/>
  </x:cols>
  <x:sheetData>
    <x:row r="1">
      <x:c r="A1" s="149" t="str">
        <x:v>DRAFT PLAN — turn synthesis into a literature review structure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Section ID</x:v>
      </x:c>
      <x:c r="B3" s="125" t="str">
        <x:v>Order</x:v>
      </x:c>
      <x:c r="C3" s="125" t="str">
        <x:v>Working Heading</x:v>
      </x:c>
      <x:c r="D3" s="125" t="str">
        <x:v>Primary Theme ID</x:v>
      </x:c>
      <x:c r="E3" s="125" t="str">
        <x:v>Primary Claim ID</x:v>
      </x:c>
      <x:c r="F3" s="125" t="str">
        <x:v>Synthesis Statement</x:v>
      </x:c>
      <x:c r="G3" s="125" t="str">
        <x:v>Source Coverage</x:v>
      </x:c>
      <x:c r="H3" s="125" t="str">
        <x:v>Counter / Complicate Items</x:v>
      </x:c>
      <x:c r="I3" s="125" t="str">
        <x:v>Key Evidence to Use</x:v>
      </x:c>
      <x:c r="J3" s="125" t="str">
        <x:v>Target Words</x:v>
      </x:c>
      <x:c r="K3" s="125" t="str">
        <x:v>Actual Words</x:v>
      </x:c>
      <x:c r="L3" s="125" t="str">
        <x:v>Progress</x:v>
      </x:c>
      <x:c r="M3" s="125" t="str">
        <x:v>Status</x:v>
      </x:c>
      <x:c r="N3" s="125" t="str">
        <x:v>Notes</x:v>
      </x:c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26" t="str">
        <x:f>IF(C4="","","SEC"&amp;TEXT(ROW()-3,"00"))</x:f>
      </x:c>
      <x:c r="B4" s="119"/>
      <x:c r="C4" s="119"/>
      <x:c r="D4" s="119"/>
      <x:c r="E4" s="119"/>
      <x:c r="F4" s="119"/>
      <x:c r="G4" s="126" t="str">
        <x:f>IF(E4&lt;&gt;"",IFERROR(INDEX('CLAIM MAP'!$E$4:$E$23,MATCH(E4,'CLAIM MAP'!$A$4:$A$23,0)),0),IF(D4&lt;&gt;"",IFERROR(INDEX(THEMES!$H$4:$H$15,MATCH(D4,THEMES!$A$4:$A$15,0)),0),""))</x:f>
      </x:c>
      <x:c r="H4" s="126" t="str">
        <x:f>IF(E4&lt;&gt;"",IFERROR(INDEX('CLAIM MAP'!$G$4:$G$23,MATCH(E4,'CLAIM MAP'!$A$4:$A$23,0)),0)+IFERROR(INDEX('CLAIM MAP'!$H$4:$H$23,MATCH(E4,'CLAIM MAP'!$A$4:$A$23,0)),0),"")</x:f>
      </x:c>
      <x:c r="I4" s="119"/>
      <x:c r="J4" s="119"/>
      <x:c r="K4" s="119"/>
      <x:c r="L4" s="127" t="str">
        <x:f>IF(OR(J4="",J4=0),"",MIN(1,K4/J4))</x:f>
      </x:c>
      <x:c r="M4" s="119"/>
      <x:c r="N4" s="119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26" t="str">
        <x:f>IF(C5="","","SEC"&amp;TEXT(ROW()-3,"00"))</x:f>
      </x:c>
      <x:c r="B5" s="119"/>
      <x:c r="C5" s="119"/>
      <x:c r="D5" s="119"/>
      <x:c r="E5" s="119"/>
      <x:c r="F5" s="119"/>
      <x:c r="G5" s="126" t="str">
        <x:f>IF(E5&lt;&gt;"",IFERROR(INDEX('CLAIM MAP'!$E$4:$E$23,MATCH(E5,'CLAIM MAP'!$A$4:$A$23,0)),0),IF(D5&lt;&gt;"",IFERROR(INDEX(THEMES!$H$4:$H$15,MATCH(D5,THEMES!$A$4:$A$15,0)),0),""))</x:f>
      </x:c>
      <x:c r="H5" s="126" t="str">
        <x:f>IF(E5&lt;&gt;"",IFERROR(INDEX('CLAIM MAP'!$G$4:$G$23,MATCH(E5,'CLAIM MAP'!$A$4:$A$23,0)),0)+IFERROR(INDEX('CLAIM MAP'!$H$4:$H$23,MATCH(E5,'CLAIM MAP'!$A$4:$A$23,0)),0),"")</x:f>
      </x:c>
      <x:c r="I5" s="119"/>
      <x:c r="J5" s="119"/>
      <x:c r="K5" s="119"/>
      <x:c r="L5" s="127" t="str">
        <x:f>IF(OR(J5="",J5=0),"",MIN(1,K5/J5))</x:f>
      </x:c>
      <x:c r="M5" s="119"/>
      <x:c r="N5" s="119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26" t="str">
        <x:f>IF(C6="","","SEC"&amp;TEXT(ROW()-3,"00"))</x:f>
      </x:c>
      <x:c r="B6" s="119"/>
      <x:c r="C6" s="119"/>
      <x:c r="D6" s="119"/>
      <x:c r="E6" s="119"/>
      <x:c r="F6" s="119"/>
      <x:c r="G6" s="126" t="str">
        <x:f>IF(E6&lt;&gt;"",IFERROR(INDEX('CLAIM MAP'!$E$4:$E$23,MATCH(E6,'CLAIM MAP'!$A$4:$A$23,0)),0),IF(D6&lt;&gt;"",IFERROR(INDEX(THEMES!$H$4:$H$15,MATCH(D6,THEMES!$A$4:$A$15,0)),0),""))</x:f>
      </x:c>
      <x:c r="H6" s="126" t="str">
        <x:f>IF(E6&lt;&gt;"",IFERROR(INDEX('CLAIM MAP'!$G$4:$G$23,MATCH(E6,'CLAIM MAP'!$A$4:$A$23,0)),0)+IFERROR(INDEX('CLAIM MAP'!$H$4:$H$23,MATCH(E6,'CLAIM MAP'!$A$4:$A$23,0)),0),"")</x:f>
      </x:c>
      <x:c r="I6" s="119"/>
      <x:c r="J6" s="119"/>
      <x:c r="K6" s="119"/>
      <x:c r="L6" s="127" t="str">
        <x:f>IF(OR(J6="",J6=0),"",MIN(1,K6/J6))</x:f>
      </x:c>
      <x:c r="M6" s="119"/>
      <x:c r="N6" s="119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26" t="str">
        <x:f>IF(C7="","","SEC"&amp;TEXT(ROW()-3,"00"))</x:f>
      </x:c>
      <x:c r="B7" s="119"/>
      <x:c r="C7" s="119"/>
      <x:c r="D7" s="119"/>
      <x:c r="E7" s="119"/>
      <x:c r="F7" s="119"/>
      <x:c r="G7" s="126" t="str">
        <x:f>IF(E7&lt;&gt;"",IFERROR(INDEX('CLAIM MAP'!$E$4:$E$23,MATCH(E7,'CLAIM MAP'!$A$4:$A$23,0)),0),IF(D7&lt;&gt;"",IFERROR(INDEX(THEMES!$H$4:$H$15,MATCH(D7,THEMES!$A$4:$A$15,0)),0),""))</x:f>
      </x:c>
      <x:c r="H7" s="126" t="str">
        <x:f>IF(E7&lt;&gt;"",IFERROR(INDEX('CLAIM MAP'!$G$4:$G$23,MATCH(E7,'CLAIM MAP'!$A$4:$A$23,0)),0)+IFERROR(INDEX('CLAIM MAP'!$H$4:$H$23,MATCH(E7,'CLAIM MAP'!$A$4:$A$23,0)),0),"")</x:f>
      </x:c>
      <x:c r="I7" s="119"/>
      <x:c r="J7" s="119"/>
      <x:c r="K7" s="119"/>
      <x:c r="L7" s="127" t="str">
        <x:f>IF(OR(J7="",J7=0),"",MIN(1,K7/J7))</x:f>
      </x:c>
      <x:c r="M7" s="119"/>
      <x:c r="N7" s="119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26" t="str">
        <x:f>IF(C8="","","SEC"&amp;TEXT(ROW()-3,"00"))</x:f>
      </x:c>
      <x:c r="B8" s="119"/>
      <x:c r="C8" s="119"/>
      <x:c r="D8" s="119"/>
      <x:c r="E8" s="119"/>
      <x:c r="F8" s="119"/>
      <x:c r="G8" s="126" t="str">
        <x:f>IF(E8&lt;&gt;"",IFERROR(INDEX('CLAIM MAP'!$E$4:$E$23,MATCH(E8,'CLAIM MAP'!$A$4:$A$23,0)),0),IF(D8&lt;&gt;"",IFERROR(INDEX(THEMES!$H$4:$H$15,MATCH(D8,THEMES!$A$4:$A$15,0)),0),""))</x:f>
      </x:c>
      <x:c r="H8" s="126" t="str">
        <x:f>IF(E8&lt;&gt;"",IFERROR(INDEX('CLAIM MAP'!$G$4:$G$23,MATCH(E8,'CLAIM MAP'!$A$4:$A$23,0)),0)+IFERROR(INDEX('CLAIM MAP'!$H$4:$H$23,MATCH(E8,'CLAIM MAP'!$A$4:$A$23,0)),0),"")</x:f>
      </x:c>
      <x:c r="I8" s="119"/>
      <x:c r="J8" s="119"/>
      <x:c r="K8" s="119"/>
      <x:c r="L8" s="127" t="str">
        <x:f>IF(OR(J8="",J8=0),"",MIN(1,K8/J8))</x:f>
      </x:c>
      <x:c r="M8" s="119"/>
      <x:c r="N8" s="119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26" t="str">
        <x:f>IF(C9="","","SEC"&amp;TEXT(ROW()-3,"00"))</x:f>
      </x:c>
      <x:c r="B9" s="119"/>
      <x:c r="C9" s="119"/>
      <x:c r="D9" s="119"/>
      <x:c r="E9" s="119"/>
      <x:c r="F9" s="119"/>
      <x:c r="G9" s="126" t="str">
        <x:f>IF(E9&lt;&gt;"",IFERROR(INDEX('CLAIM MAP'!$E$4:$E$23,MATCH(E9,'CLAIM MAP'!$A$4:$A$23,0)),0),IF(D9&lt;&gt;"",IFERROR(INDEX(THEMES!$H$4:$H$15,MATCH(D9,THEMES!$A$4:$A$15,0)),0),""))</x:f>
      </x:c>
      <x:c r="H9" s="126" t="str">
        <x:f>IF(E9&lt;&gt;"",IFERROR(INDEX('CLAIM MAP'!$G$4:$G$23,MATCH(E9,'CLAIM MAP'!$A$4:$A$23,0)),0)+IFERROR(INDEX('CLAIM MAP'!$H$4:$H$23,MATCH(E9,'CLAIM MAP'!$A$4:$A$23,0)),0),"")</x:f>
      </x:c>
      <x:c r="I9" s="119"/>
      <x:c r="J9" s="119"/>
      <x:c r="K9" s="119"/>
      <x:c r="L9" s="127" t="str">
        <x:f>IF(OR(J9="",J9=0),"",MIN(1,K9/J9))</x:f>
      </x:c>
      <x:c r="M9" s="119"/>
      <x:c r="N9" s="119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26" t="str">
        <x:f>IF(C10="","","SEC"&amp;TEXT(ROW()-3,"00"))</x:f>
      </x:c>
      <x:c r="B10" s="119"/>
      <x:c r="C10" s="119"/>
      <x:c r="D10" s="119"/>
      <x:c r="E10" s="119"/>
      <x:c r="F10" s="119"/>
      <x:c r="G10" s="126" t="str">
        <x:f>IF(E10&lt;&gt;"",IFERROR(INDEX('CLAIM MAP'!$E$4:$E$23,MATCH(E10,'CLAIM MAP'!$A$4:$A$23,0)),0),IF(D10&lt;&gt;"",IFERROR(INDEX(THEMES!$H$4:$H$15,MATCH(D10,THEMES!$A$4:$A$15,0)),0),""))</x:f>
      </x:c>
      <x:c r="H10" s="126" t="str">
        <x:f>IF(E10&lt;&gt;"",IFERROR(INDEX('CLAIM MAP'!$G$4:$G$23,MATCH(E10,'CLAIM MAP'!$A$4:$A$23,0)),0)+IFERROR(INDEX('CLAIM MAP'!$H$4:$H$23,MATCH(E10,'CLAIM MAP'!$A$4:$A$23,0)),0),"")</x:f>
      </x:c>
      <x:c r="I10" s="119"/>
      <x:c r="J10" s="119"/>
      <x:c r="K10" s="119"/>
      <x:c r="L10" s="127" t="str">
        <x:f>IF(OR(J10="",J10=0),"",MIN(1,K10/J10))</x:f>
      </x:c>
      <x:c r="M10" s="119"/>
      <x:c r="N10" s="119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26" t="str">
        <x:f>IF(C11="","","SEC"&amp;TEXT(ROW()-3,"00"))</x:f>
      </x:c>
      <x:c r="B11" s="119"/>
      <x:c r="C11" s="119"/>
      <x:c r="D11" s="119"/>
      <x:c r="E11" s="119"/>
      <x:c r="F11" s="119"/>
      <x:c r="G11" s="126" t="str">
        <x:f>IF(E11&lt;&gt;"",IFERROR(INDEX('CLAIM MAP'!$E$4:$E$23,MATCH(E11,'CLAIM MAP'!$A$4:$A$23,0)),0),IF(D11&lt;&gt;"",IFERROR(INDEX(THEMES!$H$4:$H$15,MATCH(D11,THEMES!$A$4:$A$15,0)),0),""))</x:f>
      </x:c>
      <x:c r="H11" s="126" t="str">
        <x:f>IF(E11&lt;&gt;"",IFERROR(INDEX('CLAIM MAP'!$G$4:$G$23,MATCH(E11,'CLAIM MAP'!$A$4:$A$23,0)),0)+IFERROR(INDEX('CLAIM MAP'!$H$4:$H$23,MATCH(E11,'CLAIM MAP'!$A$4:$A$23,0)),0),"")</x:f>
      </x:c>
      <x:c r="I11" s="119"/>
      <x:c r="J11" s="119"/>
      <x:c r="K11" s="119"/>
      <x:c r="L11" s="127" t="str">
        <x:f>IF(OR(J11="",J11=0),"",MIN(1,K11/J11))</x:f>
      </x:c>
      <x:c r="M11" s="119"/>
      <x:c r="N11" s="119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26" t="str">
        <x:f>IF(C12="","","SEC"&amp;TEXT(ROW()-3,"00"))</x:f>
      </x:c>
      <x:c r="B12" s="119"/>
      <x:c r="C12" s="119"/>
      <x:c r="D12" s="119"/>
      <x:c r="E12" s="119"/>
      <x:c r="F12" s="119"/>
      <x:c r="G12" s="126" t="str">
        <x:f>IF(E12&lt;&gt;"",IFERROR(INDEX('CLAIM MAP'!$E$4:$E$23,MATCH(E12,'CLAIM MAP'!$A$4:$A$23,0)),0),IF(D12&lt;&gt;"",IFERROR(INDEX(THEMES!$H$4:$H$15,MATCH(D12,THEMES!$A$4:$A$15,0)),0),""))</x:f>
      </x:c>
      <x:c r="H12" s="126" t="str">
        <x:f>IF(E12&lt;&gt;"",IFERROR(INDEX('CLAIM MAP'!$G$4:$G$23,MATCH(E12,'CLAIM MAP'!$A$4:$A$23,0)),0)+IFERROR(INDEX('CLAIM MAP'!$H$4:$H$23,MATCH(E12,'CLAIM MAP'!$A$4:$A$23,0)),0),"")</x:f>
      </x:c>
      <x:c r="I12" s="119"/>
      <x:c r="J12" s="119"/>
      <x:c r="K12" s="119"/>
      <x:c r="L12" s="127" t="str">
        <x:f>IF(OR(J12="",J12=0),"",MIN(1,K12/J12))</x:f>
      </x:c>
      <x:c r="M12" s="119"/>
      <x:c r="N12" s="119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26" t="str">
        <x:f>IF(C13="","","SEC"&amp;TEXT(ROW()-3,"00"))</x:f>
      </x:c>
      <x:c r="B13" s="119"/>
      <x:c r="C13" s="119"/>
      <x:c r="D13" s="119"/>
      <x:c r="E13" s="119"/>
      <x:c r="F13" s="119"/>
      <x:c r="G13" s="126" t="str">
        <x:f>IF(E13&lt;&gt;"",IFERROR(INDEX('CLAIM MAP'!$E$4:$E$23,MATCH(E13,'CLAIM MAP'!$A$4:$A$23,0)),0),IF(D13&lt;&gt;"",IFERROR(INDEX(THEMES!$H$4:$H$15,MATCH(D13,THEMES!$A$4:$A$15,0)),0),""))</x:f>
      </x:c>
      <x:c r="H13" s="126" t="str">
        <x:f>IF(E13&lt;&gt;"",IFERROR(INDEX('CLAIM MAP'!$G$4:$G$23,MATCH(E13,'CLAIM MAP'!$A$4:$A$23,0)),0)+IFERROR(INDEX('CLAIM MAP'!$H$4:$H$23,MATCH(E13,'CLAIM MAP'!$A$4:$A$23,0)),0),"")</x:f>
      </x:c>
      <x:c r="I13" s="119"/>
      <x:c r="J13" s="119"/>
      <x:c r="K13" s="119"/>
      <x:c r="L13" s="127" t="str">
        <x:f>IF(OR(J13="",J13=0),"",MIN(1,K13/J13))</x:f>
      </x:c>
      <x:c r="M13" s="119"/>
      <x:c r="N13" s="119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26" t="str">
        <x:f>IF(C14="","","SEC"&amp;TEXT(ROW()-3,"00"))</x:f>
      </x:c>
      <x:c r="B14" s="119"/>
      <x:c r="C14" s="119"/>
      <x:c r="D14" s="119"/>
      <x:c r="E14" s="119"/>
      <x:c r="F14" s="119"/>
      <x:c r="G14" s="126" t="str">
        <x:f>IF(E14&lt;&gt;"",IFERROR(INDEX('CLAIM MAP'!$E$4:$E$23,MATCH(E14,'CLAIM MAP'!$A$4:$A$23,0)),0),IF(D14&lt;&gt;"",IFERROR(INDEX(THEMES!$H$4:$H$15,MATCH(D14,THEMES!$A$4:$A$15,0)),0),""))</x:f>
      </x:c>
      <x:c r="H14" s="126" t="str">
        <x:f>IF(E14&lt;&gt;"",IFERROR(INDEX('CLAIM MAP'!$G$4:$G$23,MATCH(E14,'CLAIM MAP'!$A$4:$A$23,0)),0)+IFERROR(INDEX('CLAIM MAP'!$H$4:$H$23,MATCH(E14,'CLAIM MAP'!$A$4:$A$23,0)),0),"")</x:f>
      </x:c>
      <x:c r="I14" s="119"/>
      <x:c r="J14" s="119"/>
      <x:c r="K14" s="119"/>
      <x:c r="L14" s="127" t="str">
        <x:f>IF(OR(J14="",J14=0),"",MIN(1,K14/J14))</x:f>
      </x:c>
      <x:c r="M14" s="119"/>
      <x:c r="N14" s="119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126" t="str">
        <x:f>IF(C15="","","SEC"&amp;TEXT(ROW()-3,"00"))</x:f>
      </x:c>
      <x:c r="B15" s="119"/>
      <x:c r="C15" s="119"/>
      <x:c r="D15" s="119"/>
      <x:c r="E15" s="119"/>
      <x:c r="F15" s="119"/>
      <x:c r="G15" s="126" t="str">
        <x:f>IF(E15&lt;&gt;"",IFERROR(INDEX('CLAIM MAP'!$E$4:$E$23,MATCH(E15,'CLAIM MAP'!$A$4:$A$23,0)),0),IF(D15&lt;&gt;"",IFERROR(INDEX(THEMES!$H$4:$H$15,MATCH(D15,THEMES!$A$4:$A$15,0)),0),""))</x:f>
      </x:c>
      <x:c r="H15" s="126" t="str">
        <x:f>IF(E15&lt;&gt;"",IFERROR(INDEX('CLAIM MAP'!$G$4:$G$23,MATCH(E15,'CLAIM MAP'!$A$4:$A$23,0)),0)+IFERROR(INDEX('CLAIM MAP'!$H$4:$H$23,MATCH(E15,'CLAIM MAP'!$A$4:$A$23,0)),0),"")</x:f>
      </x:c>
      <x:c r="I15" s="119"/>
      <x:c r="J15" s="119"/>
      <x:c r="K15" s="119"/>
      <x:c r="L15" s="127" t="str">
        <x:f>IF(OR(J15="",J15=0),"",MIN(1,K15/J15))</x:f>
      </x:c>
      <x:c r="M15" s="119"/>
      <x:c r="N15" s="119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126" t="str">
        <x:f>IF(C16="","","SEC"&amp;TEXT(ROW()-3,"00"))</x:f>
      </x:c>
      <x:c r="B16" s="119"/>
      <x:c r="C16" s="119"/>
      <x:c r="D16" s="119"/>
      <x:c r="E16" s="119"/>
      <x:c r="F16" s="119"/>
      <x:c r="G16" s="126" t="str">
        <x:f>IF(E16&lt;&gt;"",IFERROR(INDEX('CLAIM MAP'!$E$4:$E$23,MATCH(E16,'CLAIM MAP'!$A$4:$A$23,0)),0),IF(D16&lt;&gt;"",IFERROR(INDEX(THEMES!$H$4:$H$15,MATCH(D16,THEMES!$A$4:$A$15,0)),0),""))</x:f>
      </x:c>
      <x:c r="H16" s="126" t="str">
        <x:f>IF(E16&lt;&gt;"",IFERROR(INDEX('CLAIM MAP'!$G$4:$G$23,MATCH(E16,'CLAIM MAP'!$A$4:$A$23,0)),0)+IFERROR(INDEX('CLAIM MAP'!$H$4:$H$23,MATCH(E16,'CLAIM MAP'!$A$4:$A$23,0)),0),"")</x:f>
      </x:c>
      <x:c r="I16" s="119"/>
      <x:c r="J16" s="119"/>
      <x:c r="K16" s="119"/>
      <x:c r="L16" s="127" t="str">
        <x:f>IF(OR(J16="",J16=0),"",MIN(1,K16/J16))</x:f>
      </x:c>
      <x:c r="M16" s="119"/>
      <x:c r="N16" s="119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126" t="str">
        <x:f>IF(C17="","","SEC"&amp;TEXT(ROW()-3,"00"))</x:f>
      </x:c>
      <x:c r="B17" s="119"/>
      <x:c r="C17" s="119"/>
      <x:c r="D17" s="119"/>
      <x:c r="E17" s="119"/>
      <x:c r="F17" s="119"/>
      <x:c r="G17" s="126" t="str">
        <x:f>IF(E17&lt;&gt;"",IFERROR(INDEX('CLAIM MAP'!$E$4:$E$23,MATCH(E17,'CLAIM MAP'!$A$4:$A$23,0)),0),IF(D17&lt;&gt;"",IFERROR(INDEX(THEMES!$H$4:$H$15,MATCH(D17,THEMES!$A$4:$A$15,0)),0),""))</x:f>
      </x:c>
      <x:c r="H17" s="126" t="str">
        <x:f>IF(E17&lt;&gt;"",IFERROR(INDEX('CLAIM MAP'!$G$4:$G$23,MATCH(E17,'CLAIM MAP'!$A$4:$A$23,0)),0)+IFERROR(INDEX('CLAIM MAP'!$H$4:$H$23,MATCH(E17,'CLAIM MAP'!$A$4:$A$23,0)),0),"")</x:f>
      </x:c>
      <x:c r="I17" s="119"/>
      <x:c r="J17" s="119"/>
      <x:c r="K17" s="119"/>
      <x:c r="L17" s="127" t="str">
        <x:f>IF(OR(J17="",J17=0),"",MIN(1,K17/J17))</x:f>
      </x:c>
      <x:c r="M17" s="119"/>
      <x:c r="N17" s="119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126" t="str">
        <x:f>IF(C18="","","SEC"&amp;TEXT(ROW()-3,"00"))</x:f>
      </x:c>
      <x:c r="B18" s="119"/>
      <x:c r="C18" s="119"/>
      <x:c r="D18" s="119"/>
      <x:c r="E18" s="119"/>
      <x:c r="F18" s="119"/>
      <x:c r="G18" s="126" t="str">
        <x:f>IF(E18&lt;&gt;"",IFERROR(INDEX('CLAIM MAP'!$E$4:$E$23,MATCH(E18,'CLAIM MAP'!$A$4:$A$23,0)),0),IF(D18&lt;&gt;"",IFERROR(INDEX(THEMES!$H$4:$H$15,MATCH(D18,THEMES!$A$4:$A$15,0)),0),""))</x:f>
      </x:c>
      <x:c r="H18" s="126" t="str">
        <x:f>IF(E18&lt;&gt;"",IFERROR(INDEX('CLAIM MAP'!$G$4:$G$23,MATCH(E18,'CLAIM MAP'!$A$4:$A$23,0)),0)+IFERROR(INDEX('CLAIM MAP'!$H$4:$H$23,MATCH(E18,'CLAIM MAP'!$A$4:$A$23,0)),0),"")</x:f>
      </x:c>
      <x:c r="I18" s="119"/>
      <x:c r="J18" s="119"/>
      <x:c r="K18" s="119"/>
      <x:c r="L18" s="127" t="str">
        <x:f>IF(OR(J18="",J18=0),"",MIN(1,K18/J18))</x:f>
      </x:c>
      <x:c r="M18" s="119"/>
      <x:c r="N18" s="119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126" t="str">
        <x:f>IF(C19="","","SEC"&amp;TEXT(ROW()-3,"00"))</x:f>
      </x:c>
      <x:c r="B19" s="119"/>
      <x:c r="C19" s="119"/>
      <x:c r="D19" s="119"/>
      <x:c r="E19" s="119"/>
      <x:c r="F19" s="119"/>
      <x:c r="G19" s="126" t="str">
        <x:f>IF(E19&lt;&gt;"",IFERROR(INDEX('CLAIM MAP'!$E$4:$E$23,MATCH(E19,'CLAIM MAP'!$A$4:$A$23,0)),0),IF(D19&lt;&gt;"",IFERROR(INDEX(THEMES!$H$4:$H$15,MATCH(D19,THEMES!$A$4:$A$15,0)),0),""))</x:f>
      </x:c>
      <x:c r="H19" s="126" t="str">
        <x:f>IF(E19&lt;&gt;"",IFERROR(INDEX('CLAIM MAP'!$G$4:$G$23,MATCH(E19,'CLAIM MAP'!$A$4:$A$23,0)),0)+IFERROR(INDEX('CLAIM MAP'!$H$4:$H$23,MATCH(E19,'CLAIM MAP'!$A$4:$A$23,0)),0),"")</x:f>
      </x:c>
      <x:c r="I19" s="119"/>
      <x:c r="J19" s="119"/>
      <x:c r="K19" s="119"/>
      <x:c r="L19" s="127" t="str">
        <x:f>IF(OR(J19="",J19=0),"",MIN(1,K19/J19))</x:f>
      </x:c>
      <x:c r="M19" s="119"/>
      <x:c r="N19" s="119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126" t="str">
        <x:f>IF(C20="","","SEC"&amp;TEXT(ROW()-3,"00"))</x:f>
      </x:c>
      <x:c r="B20" s="119"/>
      <x:c r="C20" s="119"/>
      <x:c r="D20" s="119"/>
      <x:c r="E20" s="119"/>
      <x:c r="F20" s="119"/>
      <x:c r="G20" s="126" t="str">
        <x:f>IF(E20&lt;&gt;"",IFERROR(INDEX('CLAIM MAP'!$E$4:$E$23,MATCH(E20,'CLAIM MAP'!$A$4:$A$23,0)),0),IF(D20&lt;&gt;"",IFERROR(INDEX(THEMES!$H$4:$H$15,MATCH(D20,THEMES!$A$4:$A$15,0)),0),""))</x:f>
      </x:c>
      <x:c r="H20" s="126" t="str">
        <x:f>IF(E20&lt;&gt;"",IFERROR(INDEX('CLAIM MAP'!$G$4:$G$23,MATCH(E20,'CLAIM MAP'!$A$4:$A$23,0)),0)+IFERROR(INDEX('CLAIM MAP'!$H$4:$H$23,MATCH(E20,'CLAIM MAP'!$A$4:$A$23,0)),0),"")</x:f>
      </x:c>
      <x:c r="I20" s="119"/>
      <x:c r="J20" s="119"/>
      <x:c r="K20" s="119"/>
      <x:c r="L20" s="127" t="str">
        <x:f>IF(OR(J20="",J20=0),"",MIN(1,K20/J20))</x:f>
      </x:c>
      <x:c r="M20" s="119"/>
      <x:c r="N20" s="119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126" t="str">
        <x:f>IF(C21="","","SEC"&amp;TEXT(ROW()-3,"00"))</x:f>
      </x:c>
      <x:c r="B21" s="119"/>
      <x:c r="C21" s="119"/>
      <x:c r="D21" s="119"/>
      <x:c r="E21" s="119"/>
      <x:c r="F21" s="119"/>
      <x:c r="G21" s="126" t="str">
        <x:f>IF(E21&lt;&gt;"",IFERROR(INDEX('CLAIM MAP'!$E$4:$E$23,MATCH(E21,'CLAIM MAP'!$A$4:$A$23,0)),0),IF(D21&lt;&gt;"",IFERROR(INDEX(THEMES!$H$4:$H$15,MATCH(D21,THEMES!$A$4:$A$15,0)),0),""))</x:f>
      </x:c>
      <x:c r="H21" s="126" t="str">
        <x:f>IF(E21&lt;&gt;"",IFERROR(INDEX('CLAIM MAP'!$G$4:$G$23,MATCH(E21,'CLAIM MAP'!$A$4:$A$23,0)),0)+IFERROR(INDEX('CLAIM MAP'!$H$4:$H$23,MATCH(E21,'CLAIM MAP'!$A$4:$A$23,0)),0),"")</x:f>
      </x:c>
      <x:c r="I21" s="119"/>
      <x:c r="J21" s="119"/>
      <x:c r="K21" s="119"/>
      <x:c r="L21" s="127" t="str">
        <x:f>IF(OR(J21="",J21=0),"",MIN(1,K21/J21))</x:f>
      </x:c>
      <x:c r="M21" s="119"/>
      <x:c r="N21" s="119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126" t="str">
        <x:f>IF(C22="","","SEC"&amp;TEXT(ROW()-3,"00"))</x:f>
      </x:c>
      <x:c r="B22" s="119"/>
      <x:c r="C22" s="119"/>
      <x:c r="D22" s="119"/>
      <x:c r="E22" s="119"/>
      <x:c r="F22" s="119"/>
      <x:c r="G22" s="126" t="str">
        <x:f>IF(E22&lt;&gt;"",IFERROR(INDEX('CLAIM MAP'!$E$4:$E$23,MATCH(E22,'CLAIM MAP'!$A$4:$A$23,0)),0),IF(D22&lt;&gt;"",IFERROR(INDEX(THEMES!$H$4:$H$15,MATCH(D22,THEMES!$A$4:$A$15,0)),0),""))</x:f>
      </x:c>
      <x:c r="H22" s="126" t="str">
        <x:f>IF(E22&lt;&gt;"",IFERROR(INDEX('CLAIM MAP'!$G$4:$G$23,MATCH(E22,'CLAIM MAP'!$A$4:$A$23,0)),0)+IFERROR(INDEX('CLAIM MAP'!$H$4:$H$23,MATCH(E22,'CLAIM MAP'!$A$4:$A$23,0)),0),"")</x:f>
      </x:c>
      <x:c r="I22" s="119"/>
      <x:c r="J22" s="119"/>
      <x:c r="K22" s="119"/>
      <x:c r="L22" s="127" t="str">
        <x:f>IF(OR(J22="",J22=0),"",MIN(1,K22/J22))</x:f>
      </x:c>
      <x:c r="M22" s="119"/>
      <x:c r="N22" s="119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126" t="str">
        <x:f>IF(C23="","","SEC"&amp;TEXT(ROW()-3,"00"))</x:f>
      </x:c>
      <x:c r="B23" s="119"/>
      <x:c r="C23" s="119"/>
      <x:c r="D23" s="119"/>
      <x:c r="E23" s="119"/>
      <x:c r="F23" s="119"/>
      <x:c r="G23" s="126" t="str">
        <x:f>IF(E23&lt;&gt;"",IFERROR(INDEX('CLAIM MAP'!$E$4:$E$23,MATCH(E23,'CLAIM MAP'!$A$4:$A$23,0)),0),IF(D23&lt;&gt;"",IFERROR(INDEX(THEMES!$H$4:$H$15,MATCH(D23,THEMES!$A$4:$A$15,0)),0),""))</x:f>
      </x:c>
      <x:c r="H23" s="126" t="str">
        <x:f>IF(E23&lt;&gt;"",IFERROR(INDEX('CLAIM MAP'!$G$4:$G$23,MATCH(E23,'CLAIM MAP'!$A$4:$A$23,0)),0)+IFERROR(INDEX('CLAIM MAP'!$H$4:$H$23,MATCH(E23,'CLAIM MAP'!$A$4:$A$23,0)),0),"")</x:f>
      </x:c>
      <x:c r="I23" s="119"/>
      <x:c r="J23" s="119"/>
      <x:c r="K23" s="119"/>
      <x:c r="L23" s="127" t="str">
        <x:f>IF(OR(J23="",J23=0),"",MIN(1,K23/J23))</x:f>
      </x:c>
      <x:c r="M23" s="119"/>
      <x:c r="N23" s="119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N1"/>
  </x:mergeCells>
  <x:conditionalFormatting sqref="L4:L2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{989CA585-1ADA-6592-ECB8-576C1A4E31CC}</x14:id>
        </x:ext>
      </x:extLst>
    </x:cfRule>
  </x:conditionalFormatting>
  <x:dataValidations count="1">
    <x:dataValidation type="list" sqref="M4:M23">
      <x:formula1>_LISTS!$H$2:$H$7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89CA585-1ADA-6592-ECB8-576C1A4E31CC}">
            <x14:dataBar gradient="1">
              <x14:cfvo type="min"/>
              <x14:cfvo type="max"/>
              <x14:fillColor rgb="FFA02B93"/>
            </x14:dataBar>
          </x14:cfRule>
          <xm:sqref>L4:L23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4" max="4" width="24" hidden="0" customWidth="1"/>
    <x:col min="5" max="5" width="15" hidden="0" customWidth="1"/>
    <x:col min="7" max="7" width="14" hidden="0" customWidth="1"/>
    <x:col min="8" max="8" width="14" hidden="0" customWidth="1"/>
    <x:col min="9" max="9" width="12" hidden="0" customWidth="1"/>
    <x:col min="10" max="10" width="22" hidden="0" customWidth="1"/>
    <x:col min="11" max="11" width="12" hidden="0" customWidth="1"/>
    <x:col min="12" max="12" width="14" hidden="0" customWidth="1"/>
  </x:cols>
  <x:sheetData>
    <x:row r="1">
      <x:c r="A1" s="146" t="str">
        <x:v>LITERATURE REVIEW DASHBOARD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02" t="str">
        <x:v>Review</x:v>
      </x:c>
      <x:c r="B3" s="96" t="str">
        <x:f>IF('REVIEW QUESTION'!B3="","",'REVIEW QUESTION'!B3)</x:f>
      </x:c>
      <x:c r="C3" s="91"/>
      <x:c r="D3" s="93" t="str">
        <x:v>SYNTHESIS / DRAFT</x:v>
      </x:c>
      <x:c r="E3" s="93" t="str">
        <x:v>VALUE</x:v>
      </x:c>
      <x:c r="F3" s="91"/>
      <x:c r="G3" s="90" t="str">
        <x:v>OVERALL STATUS</x:v>
      </x:c>
      <x:c r="H3" s="90"/>
      <x:c r="I3" s="90"/>
      <x:c r="J3" s="90"/>
      <x:c r="K3" s="90"/>
      <x:c r="L3" s="90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02" t="str">
        <x:v>Due Date</x:v>
      </x:c>
      <x:c r="B4" s="141" t="n">
        <x:f>'REVIEW QUESTION'!B12</x:f>
        <x:v>46327</x:v>
      </x:c>
      <x:c r="C4" s="91"/>
      <x:c r="D4" s="102" t="str">
        <x:v>Themes Ready</x:v>
      </x:c>
      <x:c r="E4" s="96" t="n">
        <x:f>COUNTIF(THEMES!N4:N15,"READY TO SYNTHESIZE")</x:f>
        <x:v>0</x:v>
      </x:c>
      <x:c r="F4" s="91"/>
      <x:c r="G4" s="142" t="str">
        <x:f>IF(B3="","DEFINE REVIEW",IF(B6=0,"ADD SOURCES",IF(B8=0,"LOG FINDINGS",IF(B11&gt;0,"CLEAN EVIDENCE",IF(E5=0,"BUILD SYNTHESIS",IF(E10&lt;E11,"DRAFT","FINAL REVIEW"))))))</x:f>
        <x:v>DEFINE REVIEW</x:v>
      </x:c>
      <x:c r="H4" s="142"/>
      <x:c r="I4" s="142"/>
      <x:c r="J4" s="142"/>
      <x:c r="K4" s="142"/>
      <x:c r="L4" s="142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02" t="str">
        <x:v>Days Remaining</x:v>
      </x:c>
      <x:c r="B5" s="96" t="n">
        <x:f>'REVIEW QUESTION'!E4</x:f>
        <x:v>31</x:v>
      </x:c>
      <x:c r="C5" s="91"/>
      <x:c r="D5" s="102" t="str">
        <x:v>Themes Defined</x:v>
      </x:c>
      <x:c r="E5" s="96" t="n">
        <x:f>COUNTIF(THEMES!B4:B15,"&lt;&gt;")</x:f>
        <x:v>0</x:v>
      </x:c>
      <x:c r="F5" s="91"/>
      <x:c r="G5" s="142"/>
      <x:c r="H5" s="142"/>
      <x:c r="I5" s="142"/>
      <x:c r="J5" s="142"/>
      <x:c r="K5" s="142"/>
      <x:c r="L5" s="142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02" t="str">
        <x:v>Included Sources</x:v>
      </x:c>
      <x:c r="B6" s="96" t="n">
        <x:f>'REVIEW QUESTION'!E6</x:f>
        <x:v>0</x:v>
      </x:c>
      <x:c r="C6" s="91"/>
      <x:c r="D6" s="102" t="str">
        <x:v>Claims Synthesis-Ready</x:v>
      </x:c>
      <x:c r="E6" s="96" t="n">
        <x:f>COUNTIF('CLAIM MAP'!K4:K23,"SYNTHESIS-READY")</x:f>
        <x:v>0</x:v>
      </x:c>
      <x:c r="F6" s="91"/>
      <x:c r="G6" s="142"/>
      <x:c r="H6" s="142"/>
      <x:c r="I6" s="142"/>
      <x:c r="J6" s="142"/>
      <x:c r="K6" s="142"/>
      <x:c r="L6" s="142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02" t="str">
        <x:v>Target Sources</x:v>
      </x:c>
      <x:c r="B7" s="96" t="n">
        <x:f>'REVIEW QUESTION'!B13</x:f>
        <x:v>20</x:v>
      </x:c>
      <x:c r="C7" s="91"/>
      <x:c r="D7" s="102" t="str">
        <x:v>Claims Defined</x:v>
      </x:c>
      <x:c r="E7" s="96" t="n">
        <x:f>COUNTIF('CLAIM MAP'!B4:B23,"&lt;&gt;")</x:f>
        <x:v>0</x:v>
      </x:c>
      <x:c r="F7" s="91"/>
      <x:c r="G7" s="142"/>
      <x:c r="H7" s="142"/>
      <x:c r="I7" s="142"/>
      <x:c r="J7" s="142"/>
      <x:c r="K7" s="142"/>
      <x:c r="L7" s="142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102" t="str">
        <x:v>Findings</x:v>
      </x:c>
      <x:c r="B8" s="96" t="n">
        <x:f>'REVIEW QUESTION'!E8</x:f>
        <x:v>0</x:v>
      </x:c>
      <x:c r="C8" s="91"/>
      <x:c r="D8" s="102" t="str">
        <x:v>Contradicting Findings</x:v>
      </x:c>
      <x:c r="E8" s="96" t="n">
        <x:f>COUNTIF(FINDINGS!J4:J203,"Contradicts")</x:f>
        <x:v>0</x:v>
      </x:c>
      <x:c r="F8" s="91"/>
      <x:c r="G8" s="142"/>
      <x:c r="H8" s="142"/>
      <x:c r="I8" s="142"/>
      <x:c r="J8" s="142"/>
      <x:c r="K8" s="142"/>
      <x:c r="L8" s="142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102" t="str">
        <x:v>Themes</x:v>
      </x:c>
      <x:c r="B9" s="96" t="n">
        <x:f>'REVIEW QUESTION'!E9</x:f>
        <x:v>0</x:v>
      </x:c>
      <x:c r="C9" s="91"/>
      <x:c r="D9" s="102" t="str">
        <x:v>Complicating Findings</x:v>
      </x:c>
      <x:c r="E9" s="96" t="n">
        <x:f>COUNTIF(FINDINGS!J4:J203,"Complicates")</x:f>
        <x:v>0</x:v>
      </x:c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02" t="str">
        <x:v>Claims</x:v>
      </x:c>
      <x:c r="B10" s="96" t="n">
        <x:f>'REVIEW QUESTION'!E10</x:f>
        <x:v>0</x:v>
      </x:c>
      <x:c r="C10" s="91"/>
      <x:c r="D10" s="102" t="str">
        <x:v>Draft Words</x:v>
      </x:c>
      <x:c r="E10" s="96" t="n">
        <x:f>SUM('DRAFT PLAN'!K4:K23)</x:f>
        <x:v>0</x:v>
      </x:c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02" t="str">
        <x:v>Evidence QA Flags</x:v>
      </x:c>
      <x:c r="B11" s="96" t="n">
        <x:f>COUNTIF(FINDINGS!Q4:Q203,"ACTION NEEDED")</x:f>
        <x:v>0</x:v>
      </x:c>
      <x:c r="C11" s="91"/>
      <x:c r="D11" s="102" t="str">
        <x:v>Target Words</x:v>
      </x:c>
      <x:c r="E11" s="96" t="n">
        <x:f>'REVIEW QUESTION'!B14</x:f>
        <x:v>5000</x:v>
      </x:c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02" t="str">
        <x:v>Source Metadata Flags</x:v>
      </x:c>
      <x:c r="B12" s="96" t="n">
        <x:f>COUNTIF(SOURCES!U4:U83,"ACTION NEEDED")+COUNTIF(SOURCES!U4:U83,"ADD METHOD")</x:f>
        <x:v>0</x:v>
      </x:c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02" t="str">
        <x:v>Open Gaps</x:v>
      </x:c>
      <x:c r="B13" s="96" t="n">
        <x:f>'REVIEW QUESTION'!E11</x:f>
        <x:v>0</x:v>
      </x:c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102" t="str">
        <x:v>Finding Direction</x:v>
      </x:c>
      <x:c r="B16" s="102" t="str">
        <x:v>Count</x:v>
      </x:c>
      <x:c r="C16" s="91"/>
      <x:c r="D16" s="91"/>
      <x:c r="E16" s="91"/>
      <x:c r="F16" s="91"/>
      <x:c r="G16" s="91"/>
      <x:c r="H16" s="91"/>
      <x:c r="I16" s="91"/>
      <x:c r="J16" s="102" t="str">
        <x:v>Included Source Type</x:v>
      </x:c>
      <x:c r="K16" s="102" t="str">
        <x:v>Count</x:v>
      </x:c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 t="str">
        <x:v>Supports</x:v>
      </x:c>
      <x:c r="B17" s="91" t="n">
        <x:f>COUNTIF(FINDINGS!J4:J203,"Supports")</x:f>
        <x:v>0</x:v>
      </x:c>
      <x:c r="C17" s="91"/>
      <x:c r="D17" s="91"/>
      <x:c r="E17" s="91"/>
      <x:c r="F17" s="91"/>
      <x:c r="G17" s="91"/>
      <x:c r="H17" s="91"/>
      <x:c r="I17" s="91"/>
      <x:c r="J17" s="91" t="str">
        <x:v>Journal Article</x:v>
      </x:c>
      <x:c r="K17" s="91" t="n">
        <x:f>COUNTIFS(SOURCES!B4:B83,"Include",SOURCES!F4:F83,"Journal Article")</x:f>
        <x:v>0</x:v>
      </x:c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1" t="str">
        <x:v>Contradicts</x:v>
      </x:c>
      <x:c r="B18" s="91" t="n">
        <x:f>COUNTIF(FINDINGS!J4:J203,"Contradicts")</x:f>
        <x:v>0</x:v>
      </x:c>
      <x:c r="C18" s="91"/>
      <x:c r="D18" s="91"/>
      <x:c r="E18" s="91"/>
      <x:c r="F18" s="91"/>
      <x:c r="G18" s="91"/>
      <x:c r="H18" s="91"/>
      <x:c r="I18" s="91"/>
      <x:c r="J18" s="91" t="str">
        <x:v>Book / Chapter</x:v>
      </x:c>
      <x:c r="K18" s="91" t="n">
        <x:f>COUNTIFS(SOURCES!B4:B83,"Include",SOURCES!F4:F83,"Book")+COUNTIFS(SOURCES!B4:B83,"Include",SOURCES!F4:F83,"Book Chapter")</x:f>
        <x:v>0</x:v>
      </x:c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1" t="str">
        <x:v>Complicates</x:v>
      </x:c>
      <x:c r="B19" s="91" t="n">
        <x:f>COUNTIF(FINDINGS!J4:J203,"Complicates")</x:f>
        <x:v>0</x:v>
      </x:c>
      <x:c r="C19" s="91"/>
      <x:c r="D19" s="91"/>
      <x:c r="E19" s="91"/>
      <x:c r="F19" s="91"/>
      <x:c r="G19" s="91"/>
      <x:c r="H19" s="91"/>
      <x:c r="I19" s="91"/>
      <x:c r="J19" s="91" t="str">
        <x:v>Report</x:v>
      </x:c>
      <x:c r="K19" s="91" t="n">
        <x:f>COUNTIFS(SOURCES!B4:B83,"Include",SOURCES!F4:F83,"Report")</x:f>
        <x:v>0</x:v>
      </x:c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1" t="str">
        <x:v>Context</x:v>
      </x:c>
      <x:c r="B20" s="91" t="n">
        <x:f>COUNTIF(FINDINGS!J4:J203,"Context")</x:f>
        <x:v>0</x:v>
      </x:c>
      <x:c r="C20" s="91"/>
      <x:c r="D20" s="91"/>
      <x:c r="E20" s="91"/>
      <x:c r="F20" s="91"/>
      <x:c r="G20" s="91"/>
      <x:c r="H20" s="91"/>
      <x:c r="I20" s="91"/>
      <x:c r="J20" s="91" t="str">
        <x:v>Primary / Archival</x:v>
      </x:c>
      <x:c r="K20" s="91" t="n">
        <x:f>COUNTIFS(SOURCES!B4:B83,"Include",SOURCES!F4:F83,"Primary / Archival")</x:f>
        <x:v>0</x:v>
      </x:c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1" t="str">
        <x:v>Not Directional</x:v>
      </x:c>
      <x:c r="B21" s="91" t="n">
        <x:f>COUNTIF(FINDINGS!J4:J203,"Not Directional")</x:f>
        <x:v>0</x:v>
      </x:c>
      <x:c r="C21" s="91"/>
      <x:c r="D21" s="91"/>
      <x:c r="E21" s="91"/>
      <x:c r="F21" s="91"/>
      <x:c r="G21" s="91"/>
      <x:c r="H21" s="91"/>
      <x:c r="I21" s="91"/>
      <x:c r="J21" s="91" t="str">
        <x:v>Thesis / Dissertation</x:v>
      </x:c>
      <x:c r="K21" s="91" t="n">
        <x:f>COUNTIFS(SOURCES!B4:B83,"Include",SOURCES!F4:F83,"Thesis / Dissertation")</x:f>
        <x:v>0</x:v>
      </x:c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 t="str">
        <x:v>Other</x:v>
      </x:c>
      <x:c r="K22" s="91" t="n">
        <x:f>COUNTIFS(SOURCES!B4:B83,"Include",SOURCES!F4:F83,"Other")</x:f>
        <x:v>0</x:v>
      </x:c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151" t="str">
        <x:v>Gap tracker preview</x:v>
      </x:c>
      <x:c r="B31" s="151"/>
      <x:c r="C31" s="151"/>
      <x:c r="D31" s="151"/>
      <x:c r="E31" s="151"/>
      <x:c r="F31" s="15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102" t="str">
        <x:v>Gap ID</x:v>
      </x:c>
      <x:c r="B32" s="102" t="str">
        <x:v>Type</x:v>
      </x:c>
      <x:c r="C32" s="102" t="str">
        <x:v>Theme / Claim</x:v>
      </x:c>
      <x:c r="D32" s="102" t="str">
        <x:v>Description</x:v>
      </x:c>
      <x:c r="E32" s="102" t="str">
        <x:v>Priority</x:v>
      </x:c>
      <x:c r="F32" s="102" t="str">
        <x:v>Status</x:v>
      </x:c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 t="str">
        <x:f>IF(GAPS!D4="","",GAPS!A4)</x:f>
      </x:c>
      <x:c r="B33" s="91" t="str">
        <x:f>IF(GAPS!D4="","",GAPS!B4)</x:f>
      </x:c>
      <x:c r="C33" s="91" t="str">
        <x:f>IF(GAPS!D4="","",GAPS!C4)</x:f>
      </x:c>
      <x:c r="D33" s="91" t="str">
        <x:f>IF(GAPS!D4="","",GAPS!D4)</x:f>
      </x:c>
      <x:c r="E33" s="91" t="str">
        <x:f>IF(GAPS!D4="","",GAPS!H4)</x:f>
      </x:c>
      <x:c r="F33" s="91" t="str">
        <x:f>IF(GAPS!D4="","",GAPS!I4)</x:f>
      </x:c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 t="str">
        <x:f>IF(GAPS!D5="","",GAPS!A5)</x:f>
      </x:c>
      <x:c r="B34" s="91" t="str">
        <x:f>IF(GAPS!D5="","",GAPS!B5)</x:f>
      </x:c>
      <x:c r="C34" s="91" t="str">
        <x:f>IF(GAPS!D5="","",GAPS!C5)</x:f>
      </x:c>
      <x:c r="D34" s="91" t="str">
        <x:f>IF(GAPS!D5="","",GAPS!D5)</x:f>
      </x:c>
      <x:c r="E34" s="91" t="str">
        <x:f>IF(GAPS!D5="","",GAPS!H5)</x:f>
      </x:c>
      <x:c r="F34" s="91" t="str">
        <x:f>IF(GAPS!D5="","",GAPS!I5)</x:f>
      </x:c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 t="str">
        <x:f>IF(GAPS!D6="","",GAPS!A6)</x:f>
      </x:c>
      <x:c r="B35" s="91" t="str">
        <x:f>IF(GAPS!D6="","",GAPS!B6)</x:f>
      </x:c>
      <x:c r="C35" s="91" t="str">
        <x:f>IF(GAPS!D6="","",GAPS!C6)</x:f>
      </x:c>
      <x:c r="D35" s="91" t="str">
        <x:f>IF(GAPS!D6="","",GAPS!D6)</x:f>
      </x:c>
      <x:c r="E35" s="91" t="str">
        <x:f>IF(GAPS!D6="","",GAPS!H6)</x:f>
      </x:c>
      <x:c r="F35" s="91" t="str">
        <x:f>IF(GAPS!D6="","",GAPS!I6)</x:f>
      </x:c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 t="str">
        <x:f>IF(GAPS!D7="","",GAPS!A7)</x:f>
      </x:c>
      <x:c r="B36" s="91" t="str">
        <x:f>IF(GAPS!D7="","",GAPS!B7)</x:f>
      </x:c>
      <x:c r="C36" s="91" t="str">
        <x:f>IF(GAPS!D7="","",GAPS!C7)</x:f>
      </x:c>
      <x:c r="D36" s="91" t="str">
        <x:f>IF(GAPS!D7="","",GAPS!D7)</x:f>
      </x:c>
      <x:c r="E36" s="91" t="str">
        <x:f>IF(GAPS!D7="","",GAPS!H7)</x:f>
      </x:c>
      <x:c r="F36" s="91" t="str">
        <x:f>IF(GAPS!D7="","",GAPS!I7)</x:f>
      </x:c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 t="str">
        <x:f>IF(GAPS!D8="","",GAPS!A8)</x:f>
      </x:c>
      <x:c r="B37" s="91" t="str">
        <x:f>IF(GAPS!D8="","",GAPS!B8)</x:f>
      </x:c>
      <x:c r="C37" s="91" t="str">
        <x:f>IF(GAPS!D8="","",GAPS!C8)</x:f>
      </x:c>
      <x:c r="D37" s="91" t="str">
        <x:f>IF(GAPS!D8="","",GAPS!D8)</x:f>
      </x:c>
      <x:c r="E37" s="91" t="str">
        <x:f>IF(GAPS!D8="","",GAPS!H8)</x:f>
      </x:c>
      <x:c r="F37" s="91" t="str">
        <x:f>IF(GAPS!D8="","",GAPS!I8)</x:f>
      </x:c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 t="str">
        <x:f>IF(GAPS!D9="","",GAPS!A9)</x:f>
      </x:c>
      <x:c r="B38" s="91" t="str">
        <x:f>IF(GAPS!D9="","",GAPS!B9)</x:f>
      </x:c>
      <x:c r="C38" s="91" t="str">
        <x:f>IF(GAPS!D9="","",GAPS!C9)</x:f>
      </x:c>
      <x:c r="D38" s="91" t="str">
        <x:f>IF(GAPS!D9="","",GAPS!D9)</x:f>
      </x:c>
      <x:c r="E38" s="91" t="str">
        <x:f>IF(GAPS!D9="","",GAPS!H9)</x:f>
      </x:c>
      <x:c r="F38" s="91" t="str">
        <x:f>IF(GAPS!D9="","",GAPS!I9)</x:f>
      </x:c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 t="str">
        <x:f>IF(GAPS!D10="","",GAPS!A10)</x:f>
      </x:c>
      <x:c r="B39" s="91" t="str">
        <x:f>IF(GAPS!D10="","",GAPS!B10)</x:f>
      </x:c>
      <x:c r="C39" s="91" t="str">
        <x:f>IF(GAPS!D10="","",GAPS!C10)</x:f>
      </x:c>
      <x:c r="D39" s="91" t="str">
        <x:f>IF(GAPS!D10="","",GAPS!D10)</x:f>
      </x:c>
      <x:c r="E39" s="91" t="str">
        <x:f>IF(GAPS!D10="","",GAPS!H10)</x:f>
      </x:c>
      <x:c r="F39" s="91" t="str">
        <x:f>IF(GAPS!D10="","",GAPS!I10)</x:f>
      </x:c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 t="str">
        <x:f>IF(GAPS!D11="","",GAPS!A11)</x:f>
      </x:c>
      <x:c r="B40" s="91" t="str">
        <x:f>IF(GAPS!D11="","",GAPS!B11)</x:f>
      </x:c>
      <x:c r="C40" s="91" t="str">
        <x:f>IF(GAPS!D11="","",GAPS!C11)</x:f>
      </x:c>
      <x:c r="D40" s="91" t="str">
        <x:f>IF(GAPS!D11="","",GAPS!D11)</x:f>
      </x:c>
      <x:c r="E40" s="91" t="str">
        <x:f>IF(GAPS!D11="","",GAPS!H11)</x:f>
      </x:c>
      <x:c r="F40" s="91" t="str">
        <x:f>IF(GAPS!D11="","",GAPS!I11)</x:f>
      </x:c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L1"/>
    <x:mergeCell ref="G3:L3"/>
    <x:mergeCell ref="G4:L8"/>
    <x:mergeCell ref="A31:F31"/>
  </x:mergeCells>
  <x:conditionalFormatting sqref="G4:L8">
    <x:cfRule type="expression" dxfId="15" priority="1">
      <x:formula>$G$4="CLEAN EVIDENCE"</x:formula>
    </x:cfRule>
    <x:cfRule type="expression" dxfId="16" priority="2">
      <x:formula>$G$4="BUILD SYNTHESIS"</x:formula>
    </x:cfRule>
    <x:cfRule type="expression" dxfId="17" priority="3">
      <x:formula>$G$4="FINAL REVIEW"</x:formula>
    </x:cfRule>
  </x:conditionalFormatting>
  <x:conditionalFormatting sqref="E33:E40">
    <x:cfRule type="expression" dxfId="18" priority="4">
      <x:formula>$E33="Critical"</x:formula>
    </x:cfRule>
    <x:cfRule type="expression" dxfId="19" priority="5">
      <x:formula>$E33="High"</x:formula>
    </x:cfRule>
  </x:conditionalFormatting>
  <x:pageMargins left="0.7" right="0.7" top="0.75" bottom="0.75" header="0.3" footer="0.3"/>
  <x:drawing xmlns:r="http://schemas.openxmlformats.org/officeDocument/2006/relationships" r:id="Rfee3e03677e3436d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40" hidden="0" customWidth="1"/>
    <x:col min="5" max="5" width="14" hidden="0" customWidth="1"/>
    <x:col min="6" max="6" width="30" hidden="0" customWidth="1"/>
    <x:col min="7" max="7" width="34" hidden="0" customWidth="1"/>
    <x:col min="8" max="8" width="34" hidden="0" customWidth="1"/>
    <x:col min="9" max="9" width="38" hidden="0" customWidth="1"/>
    <x:col min="10" max="10" width="48" hidden="0" customWidth="1"/>
  </x:cols>
  <x:sheetData>
    <x:row r="1">
      <x:c r="A1" s="149" t="str">
        <x:v>EXAMPLE — synthetic mini-review (illustrative only; not real studies)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  <x:c r="AF1" s="91"/>
      <x:c r="AG1" s="91"/>
      <x:c r="AH1" s="91"/>
      <x:c r="AI1" s="91"/>
      <x:c r="AJ1" s="91"/>
      <x:c r="AK1" s="91"/>
      <x:c r="AL1" s="91"/>
      <x:c r="AM1" s="91"/>
      <x:c r="AN1" s="91"/>
      <x:c r="AO1" s="91"/>
      <x:c r="AP1" s="91"/>
      <x:c r="AQ1" s="91"/>
      <x:c r="AR1" s="91"/>
      <x:c r="A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  <x:c r="AA2" s="91"/>
      <x:c r="AB2" s="91"/>
      <x:c r="AC2" s="91"/>
      <x:c r="AD2" s="91"/>
      <x:c r="AE2" s="91"/>
      <x:c r="AF2" s="91"/>
      <x:c r="AG2" s="91"/>
      <x:c r="AH2" s="91"/>
      <x:c r="AI2" s="91"/>
      <x:c r="AJ2" s="91"/>
      <x:c r="AK2" s="91"/>
      <x:c r="AL2" s="91"/>
      <x:c r="AM2" s="91"/>
      <x:c r="AN2" s="91"/>
      <x:c r="AO2" s="91"/>
      <x:c r="AP2" s="91"/>
      <x:c r="AQ2" s="91"/>
      <x:c r="AR2" s="91"/>
      <x:c r="AS2" s="91"/>
    </x:row>
    <x:row r="3">
      <x:c r="A3" s="125" t="str">
        <x:v>Source</x:v>
      </x:c>
      <x:c r="B3" s="125" t="str">
        <x:v>Method</x:v>
      </x:c>
      <x:c r="C3" s="125" t="str">
        <x:v>Theme</x:v>
      </x:c>
      <x:c r="D3" s="125" t="str">
        <x:v>Finding</x:v>
      </x:c>
      <x:c r="E3" s="125" t="str">
        <x:v>Direction</x:v>
      </x:c>
      <x:c r="F3" s="125" t="str">
        <x:v>Limitation</x:v>
      </x:c>
      <x:c r="G3" s="125" t="str">
        <x:v>Pattern Note</x:v>
      </x:c>
      <x:c r="H3" s="125" t="str">
        <x:v>Disagreement Note</x:v>
      </x:c>
      <x:c r="I3" s="125" t="str">
        <x:v>Possible Explanation</x:v>
      </x:c>
      <x:c r="J3" s="125" t="str">
        <x:v>Qualified Synthesis</x:v>
      </x:c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  <x:c r="AI3" s="91"/>
      <x:c r="AJ3" s="91"/>
      <x:c r="AK3" s="91"/>
      <x:c r="AL3" s="91"/>
      <x:c r="AM3" s="91"/>
      <x:c r="AN3" s="91"/>
      <x:c r="AO3" s="91"/>
      <x:c r="AP3" s="91"/>
      <x:c r="AQ3" s="91"/>
      <x:c r="AR3" s="91"/>
      <x:c r="AS3" s="91"/>
    </x:row>
    <x:row r="4">
      <x:c r="A4" s="119" t="str">
        <x:v>Example A (2024)</x:v>
      </x:c>
      <x:c r="B4" s="119" t="str">
        <x:v>Survey</x:v>
      </x:c>
      <x:c r="C4" s="119" t="str">
        <x:v>Feedback timing</x:v>
      </x:c>
      <x:c r="D4" s="119" t="str">
        <x:v>Faster feedback correlated with higher self-reported application.</x:v>
      </x:c>
      <x:c r="E4" s="119" t="str">
        <x:v>Supports</x:v>
      </x:c>
      <x:c r="F4" s="119" t="str">
        <x:v>Self-report; one institution.</x:v>
      </x:c>
      <x:c r="G4" s="138" t="str">
        <x:v>Several sources point toward faster feedback being useful.</x:v>
      </x:c>
      <x:c r="H4" s="138" t="str">
        <x:v>Example C finds timing alone insufficient.</x:v>
      </x:c>
      <x:c r="I4" s="138" t="str">
        <x:v>Effects may depend on feedback specificity and opportunity to apply it.</x:v>
      </x:c>
      <x:c r="J4" s="138" t="str">
        <x:v>Faster feedback may support transfer when learners also receive actionable guidance and an opportunity to use it.</x:v>
      </x:c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  <x:c r="AI4" s="91"/>
      <x:c r="AJ4" s="91"/>
      <x:c r="AK4" s="91"/>
      <x:c r="AL4" s="91"/>
      <x:c r="AM4" s="91"/>
      <x:c r="AN4" s="91"/>
      <x:c r="AO4" s="91"/>
      <x:c r="AP4" s="91"/>
      <x:c r="AQ4" s="91"/>
      <x:c r="AR4" s="91"/>
      <x:c r="AS4" s="91"/>
    </x:row>
    <x:row r="5">
      <x:c r="A5" s="119" t="str">
        <x:v>Example B (2025)</x:v>
      </x:c>
      <x:c r="B5" s="119" t="str">
        <x:v>Interview / Focus Group</x:v>
      </x:c>
      <x:c r="C5" s="119" t="str">
        <x:v>Feedback timing</x:v>
      </x:c>
      <x:c r="D5" s="119" t="str">
        <x:v>Participants described immediate feedback as easier to act on.</x:v>
      </x:c>
      <x:c r="E5" s="119" t="str">
        <x:v>Supports</x:v>
      </x:c>
      <x:c r="F5" s="119" t="str">
        <x:v>Small purposive sample.</x:v>
      </x:c>
      <x:c r="G5" s="138" t="str"/>
      <x:c r="H5" s="138" t="str"/>
      <x:c r="I5" s="138" t="str"/>
      <x:c r="J5" s="138" t="str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  <x:c r="AA5" s="91"/>
      <x:c r="AB5" s="91"/>
      <x:c r="AC5" s="91"/>
      <x:c r="AD5" s="91"/>
      <x:c r="AE5" s="91"/>
      <x:c r="AF5" s="91"/>
      <x:c r="AG5" s="91"/>
      <x:c r="AH5" s="91"/>
      <x:c r="AI5" s="91"/>
      <x:c r="AJ5" s="91"/>
      <x:c r="AK5" s="91"/>
      <x:c r="AL5" s="91"/>
      <x:c r="AM5" s="91"/>
      <x:c r="AN5" s="91"/>
      <x:c r="AO5" s="91"/>
      <x:c r="AP5" s="91"/>
      <x:c r="AQ5" s="91"/>
      <x:c r="AR5" s="91"/>
      <x:c r="AS5" s="91"/>
    </x:row>
    <x:row r="6">
      <x:c r="A6" s="119" t="str">
        <x:v>Example C (2023)</x:v>
      </x:c>
      <x:c r="B6" s="119" t="str">
        <x:v>Experimental / Quasi-Experimental</x:v>
      </x:c>
      <x:c r="C6" s="119" t="str">
        <x:v>Feedback timing</x:v>
      </x:c>
      <x:c r="D6" s="119" t="str">
        <x:v>No meaningful difference by timing when feedback content was generic.</x:v>
      </x:c>
      <x:c r="E6" s="119" t="str">
        <x:v>Complicates</x:v>
      </x:c>
      <x:c r="F6" s="119" t="str">
        <x:v>Narrow task; short follow-up.</x:v>
      </x:c>
      <x:c r="G6" s="138" t="str"/>
      <x:c r="H6" s="138" t="str"/>
      <x:c r="I6" s="138" t="str"/>
      <x:c r="J6" s="138" t="str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  <x:c r="AA6" s="91"/>
      <x:c r="AB6" s="91"/>
      <x:c r="AC6" s="91"/>
      <x:c r="AD6" s="91"/>
      <x:c r="AE6" s="91"/>
      <x:c r="AF6" s="91"/>
      <x:c r="AG6" s="91"/>
      <x:c r="AH6" s="91"/>
      <x:c r="AI6" s="91"/>
      <x:c r="AJ6" s="91"/>
      <x:c r="AK6" s="91"/>
      <x:c r="AL6" s="91"/>
      <x:c r="AM6" s="91"/>
      <x:c r="AN6" s="91"/>
      <x:c r="AO6" s="91"/>
      <x:c r="AP6" s="91"/>
      <x:c r="AQ6" s="91"/>
      <x:c r="AR6" s="91"/>
      <x:c r="AS6" s="91"/>
    </x:row>
    <x:row r="7">
      <x:c r="A7" s="119" t="str">
        <x:v>Example D (2025)</x:v>
      </x:c>
      <x:c r="B7" s="119" t="str">
        <x:v>Case Study</x:v>
      </x:c>
      <x:c r="C7" s="119" t="str">
        <x:v>Feedback specificity</x:v>
      </x:c>
      <x:c r="D7" s="119" t="str">
        <x:v>Specific feedback plus a practice task was associated with stronger application.</x:v>
      </x:c>
      <x:c r="E7" s="119" t="str">
        <x:v>Context</x:v>
      </x:c>
      <x:c r="F7" s="119" t="str">
        <x:v>Single program.</x:v>
      </x:c>
      <x:c r="G7" s="138" t="str"/>
      <x:c r="H7" s="138" t="str"/>
      <x:c r="I7" s="138" t="str"/>
      <x:c r="J7" s="138" t="str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  <x:c r="AA7" s="91"/>
      <x:c r="AB7" s="91"/>
      <x:c r="AC7" s="91"/>
      <x:c r="AD7" s="91"/>
      <x:c r="AE7" s="91"/>
      <x:c r="AF7" s="91"/>
      <x:c r="AG7" s="91"/>
      <x:c r="AH7" s="91"/>
      <x:c r="AI7" s="91"/>
      <x:c r="AJ7" s="91"/>
      <x:c r="AK7" s="91"/>
      <x:c r="AL7" s="91"/>
      <x:c r="AM7" s="91"/>
      <x:c r="AN7" s="91"/>
      <x:c r="AO7" s="91"/>
      <x:c r="AP7" s="91"/>
      <x:c r="AQ7" s="91"/>
      <x:c r="AR7" s="91"/>
      <x:c r="AS7" s="91"/>
    </x:row>
    <x:row r="8">
      <x:c r="A8" s="91"/>
      <x:c r="B8" s="91"/>
      <x:c r="C8" s="91"/>
      <x:c r="D8" s="91"/>
      <x:c r="E8" s="91"/>
      <x:c r="F8" s="91"/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  <x:c r="AA8" s="91"/>
      <x:c r="AB8" s="91"/>
      <x:c r="AC8" s="91"/>
      <x:c r="AD8" s="91"/>
      <x:c r="AE8" s="91"/>
      <x:c r="AF8" s="91"/>
      <x:c r="AG8" s="91"/>
      <x:c r="AH8" s="91"/>
      <x:c r="AI8" s="91"/>
      <x:c r="AJ8" s="91"/>
      <x:c r="AK8" s="91"/>
      <x:c r="AL8" s="91"/>
      <x:c r="AM8" s="91"/>
      <x:c r="AN8" s="91"/>
      <x:c r="AO8" s="91"/>
      <x:c r="AP8" s="91"/>
      <x:c r="AQ8" s="91"/>
      <x:c r="AR8" s="91"/>
      <x:c r="AS8" s="91"/>
    </x:row>
    <x:row r="9">
      <x:c r="A9" s="91"/>
      <x:c r="B9" s="91"/>
      <x:c r="C9" s="91"/>
      <x:c r="D9" s="91"/>
      <x:c r="E9" s="91"/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  <x:c r="AA9" s="91"/>
      <x:c r="AB9" s="91"/>
      <x:c r="AC9" s="91"/>
      <x:c r="AD9" s="91"/>
      <x:c r="AE9" s="91"/>
      <x:c r="AF9" s="91"/>
      <x:c r="AG9" s="91"/>
      <x:c r="AH9" s="91"/>
      <x:c r="AI9" s="91"/>
      <x:c r="AJ9" s="91"/>
      <x:c r="AK9" s="91"/>
      <x:c r="AL9" s="91"/>
      <x:c r="AM9" s="91"/>
      <x:c r="AN9" s="91"/>
      <x:c r="AO9" s="91"/>
      <x:c r="AP9" s="91"/>
      <x:c r="AQ9" s="91"/>
      <x:c r="AR9" s="91"/>
      <x:c r="AS9" s="91"/>
    </x:row>
    <x:row r="10">
      <x:c r="A10" s="102" t="str">
        <x:v>Why this structure exists</x:v>
      </x:c>
      <x:c r="B10" s="102"/>
      <x:c r="C10" s="102"/>
      <x:c r="D10" s="102"/>
      <x:c r="E10" s="102"/>
      <x:c r="F10" s="102"/>
      <x:c r="G10" s="102"/>
      <x:c r="H10" s="102"/>
      <x:c r="I10" s="102"/>
      <x:c r="J10" s="102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  <x:c r="AA10" s="91"/>
      <x:c r="AB10" s="91"/>
      <x:c r="AC10" s="91"/>
      <x:c r="AD10" s="91"/>
      <x:c r="AE10" s="91"/>
      <x:c r="AF10" s="91"/>
      <x:c r="AG10" s="91"/>
      <x:c r="AH10" s="91"/>
      <x:c r="AI10" s="91"/>
      <x:c r="AJ10" s="91"/>
      <x:c r="AK10" s="91"/>
      <x:c r="AL10" s="91"/>
      <x:c r="AM10" s="91"/>
      <x:c r="AN10" s="91"/>
      <x:c r="AO10" s="91"/>
      <x:c r="AP10" s="91"/>
      <x:c r="AQ10" s="91"/>
      <x:c r="AR10" s="91"/>
      <x:c r="AS10" s="91"/>
    </x:row>
    <x:row r="11">
      <x:c r="A11" s="103" t="str">
        <x:v>A source-by-source review would summarize A, then B, then C. A synthesis instead notices the cross-source pattern, identifies the result that complicates it, asks whether methodological/contextual differences explain the disagreement, and writes a narrower claim that survives the counterevidence. This workbook is built to make that reasoning visible.</x:v>
      </x:c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  <x:c r="AA11" s="91"/>
      <x:c r="AB11" s="91"/>
      <x:c r="AC11" s="91"/>
      <x:c r="AD11" s="91"/>
      <x:c r="AE11" s="91"/>
      <x:c r="AF11" s="91"/>
      <x:c r="AG11" s="91"/>
      <x:c r="AH11" s="91"/>
      <x:c r="AI11" s="91"/>
      <x:c r="AJ11" s="91"/>
      <x:c r="AK11" s="91"/>
      <x:c r="AL11" s="91"/>
      <x:c r="AM11" s="91"/>
      <x:c r="AN11" s="91"/>
      <x:c r="AO11" s="91"/>
      <x:c r="AP11" s="91"/>
      <x:c r="AQ11" s="91"/>
      <x:c r="AR11" s="91"/>
      <x:c r="AS11" s="91"/>
    </x:row>
    <x:row r="12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91"/>
      <x:c r="AK12" s="91"/>
      <x:c r="AL12" s="91"/>
      <x:c r="AM12" s="91"/>
      <x:c r="AN12" s="91"/>
      <x:c r="AO12" s="91"/>
      <x:c r="AP12" s="91"/>
      <x:c r="AQ12" s="91"/>
      <x:c r="AR12" s="91"/>
      <x:c r="AS12" s="91"/>
    </x:row>
    <x:row r="13">
      <x:c r="A13" s="103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  <x:c r="AA13" s="91"/>
      <x:c r="AB13" s="91"/>
      <x:c r="AC13" s="91"/>
      <x:c r="AD13" s="91"/>
      <x:c r="AE13" s="91"/>
      <x:c r="AF13" s="91"/>
      <x:c r="AG13" s="91"/>
      <x:c r="AH13" s="91"/>
      <x:c r="AI13" s="91"/>
      <x:c r="AJ13" s="91"/>
      <x:c r="AK13" s="91"/>
      <x:c r="AL13" s="91"/>
      <x:c r="AM13" s="91"/>
      <x:c r="AN13" s="91"/>
      <x:c r="AO13" s="91"/>
      <x:c r="AP13" s="91"/>
      <x:c r="AQ13" s="91"/>
      <x:c r="AR13" s="91"/>
      <x:c r="AS13" s="91"/>
    </x:row>
    <x:row r="14">
      <x:c r="A14" s="103"/>
      <x:c r="B14" s="103"/>
      <x:c r="C14" s="103"/>
      <x:c r="D14" s="103"/>
      <x:c r="E14" s="103"/>
      <x:c r="F14" s="103"/>
      <x:c r="G14" s="103"/>
      <x:c r="H14" s="103"/>
      <x:c r="I14" s="103"/>
      <x:c r="J14" s="103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  <x:c r="AA14" s="91"/>
      <x:c r="AB14" s="91"/>
      <x:c r="AC14" s="91"/>
      <x:c r="AD14" s="91"/>
      <x:c r="AE14" s="91"/>
      <x:c r="AF14" s="91"/>
      <x:c r="AG14" s="91"/>
      <x:c r="AH14" s="91"/>
      <x:c r="AI14" s="91"/>
      <x:c r="AJ14" s="91"/>
      <x:c r="AK14" s="91"/>
      <x:c r="AL14" s="91"/>
      <x:c r="AM14" s="91"/>
      <x:c r="AN14" s="91"/>
      <x:c r="AO14" s="91"/>
      <x:c r="AP14" s="91"/>
      <x:c r="AQ14" s="91"/>
      <x:c r="AR14" s="91"/>
      <x:c r="AS14" s="91"/>
    </x:row>
    <x:row r="15">
      <x:c r="A15" s="103"/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  <x:c r="AA15" s="91"/>
      <x:c r="AB15" s="91"/>
      <x:c r="AC15" s="91"/>
      <x:c r="AD15" s="91"/>
      <x:c r="AE15" s="91"/>
      <x:c r="AF15" s="91"/>
      <x:c r="AG15" s="91"/>
      <x:c r="AH15" s="91"/>
      <x:c r="AI15" s="91"/>
      <x:c r="AJ15" s="91"/>
      <x:c r="AK15" s="91"/>
      <x:c r="AL15" s="91"/>
      <x:c r="AM15" s="91"/>
      <x:c r="AN15" s="91"/>
      <x:c r="AO15" s="91"/>
      <x:c r="AP15" s="91"/>
      <x:c r="AQ15" s="91"/>
      <x:c r="AR15" s="91"/>
      <x:c r="AS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91"/>
      <x:c r="AF16" s="91"/>
      <x:c r="AG16" s="91"/>
      <x:c r="AH16" s="91"/>
      <x:c r="AI16" s="91"/>
      <x:c r="AJ16" s="91"/>
      <x:c r="AK16" s="91"/>
      <x:c r="AL16" s="91"/>
      <x:c r="AM16" s="91"/>
      <x:c r="AN16" s="91"/>
      <x:c r="AO16" s="91"/>
      <x:c r="AP16" s="91"/>
      <x:c r="AQ16" s="91"/>
      <x:c r="AR16" s="91"/>
      <x:c r="AS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91"/>
      <x:c r="AF17" s="91"/>
      <x:c r="AG17" s="91"/>
      <x:c r="AH17" s="91"/>
      <x:c r="AI17" s="91"/>
      <x:c r="AJ17" s="91"/>
      <x:c r="AK17" s="91"/>
      <x:c r="AL17" s="91"/>
      <x:c r="AM17" s="91"/>
      <x:c r="AN17" s="91"/>
      <x:c r="AO17" s="91"/>
      <x:c r="AP17" s="91"/>
      <x:c r="AQ17" s="91"/>
      <x:c r="AR17" s="91"/>
      <x:c r="AS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  <x:c r="AI18" s="91"/>
      <x:c r="AJ18" s="91"/>
      <x:c r="AK18" s="91"/>
      <x:c r="AL18" s="91"/>
      <x:c r="AM18" s="91"/>
      <x:c r="AN18" s="91"/>
      <x:c r="AO18" s="91"/>
      <x:c r="AP18" s="91"/>
      <x:c r="AQ18" s="91"/>
      <x:c r="AR18" s="91"/>
      <x:c r="AS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  <x:c r="AI19" s="91"/>
      <x:c r="AJ19" s="91"/>
      <x:c r="AK19" s="91"/>
      <x:c r="AL19" s="91"/>
      <x:c r="AM19" s="91"/>
      <x:c r="AN19" s="91"/>
      <x:c r="AO19" s="91"/>
      <x:c r="AP19" s="91"/>
      <x:c r="AQ19" s="91"/>
      <x:c r="AR19" s="91"/>
      <x:c r="AS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  <x:c r="AI20" s="91"/>
      <x:c r="AJ20" s="91"/>
      <x:c r="AK20" s="91"/>
      <x:c r="AL20" s="91"/>
      <x:c r="AM20" s="91"/>
      <x:c r="AN20" s="91"/>
      <x:c r="AO20" s="91"/>
      <x:c r="AP20" s="91"/>
      <x:c r="AQ20" s="91"/>
      <x:c r="AR20" s="91"/>
      <x:c r="AS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  <x:c r="AI21" s="91"/>
      <x:c r="AJ21" s="91"/>
      <x:c r="AK21" s="91"/>
      <x:c r="AL21" s="91"/>
      <x:c r="AM21" s="91"/>
      <x:c r="AN21" s="91"/>
      <x:c r="AO21" s="91"/>
      <x:c r="AP21" s="91"/>
      <x:c r="AQ21" s="91"/>
      <x:c r="AR21" s="91"/>
      <x:c r="AS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  <x:c r="AA22" s="91"/>
      <x:c r="AB22" s="91"/>
      <x:c r="AC22" s="91"/>
      <x:c r="AD22" s="91"/>
      <x:c r="AE22" s="91"/>
      <x:c r="AF22" s="91"/>
      <x:c r="AG22" s="91"/>
      <x:c r="AH22" s="91"/>
      <x:c r="AI22" s="91"/>
      <x:c r="AJ22" s="91"/>
      <x:c r="AK22" s="91"/>
      <x:c r="AL22" s="91"/>
      <x:c r="AM22" s="91"/>
      <x:c r="AN22" s="91"/>
      <x:c r="AO22" s="91"/>
      <x:c r="AP22" s="91"/>
      <x:c r="AQ22" s="91"/>
      <x:c r="AR22" s="91"/>
      <x:c r="AS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  <x:c r="AA23" s="91"/>
      <x:c r="AB23" s="91"/>
      <x:c r="AC23" s="91"/>
      <x:c r="AD23" s="91"/>
      <x:c r="AE23" s="91"/>
      <x:c r="AF23" s="91"/>
      <x:c r="AG23" s="91"/>
      <x:c r="AH23" s="91"/>
      <x:c r="AI23" s="91"/>
      <x:c r="AJ23" s="91"/>
      <x:c r="AK23" s="91"/>
      <x:c r="AL23" s="91"/>
      <x:c r="AM23" s="91"/>
      <x:c r="AN23" s="91"/>
      <x:c r="AO23" s="91"/>
      <x:c r="AP23" s="91"/>
      <x:c r="AQ23" s="91"/>
      <x:c r="AR23" s="91"/>
      <x:c r="AS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  <x:c r="AA24" s="91"/>
      <x:c r="AB24" s="91"/>
      <x:c r="AC24" s="91"/>
      <x:c r="AD24" s="91"/>
      <x:c r="AE24" s="91"/>
      <x:c r="AF24" s="91"/>
      <x:c r="AG24" s="91"/>
      <x:c r="AH24" s="91"/>
      <x:c r="AI24" s="91"/>
      <x:c r="AJ24" s="91"/>
      <x:c r="AK24" s="91"/>
      <x:c r="AL24" s="91"/>
      <x:c r="AM24" s="91"/>
      <x:c r="AN24" s="91"/>
      <x:c r="AO24" s="91"/>
      <x:c r="AP24" s="91"/>
      <x:c r="AQ24" s="91"/>
      <x:c r="AR24" s="91"/>
      <x:c r="AS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91"/>
      <x:c r="AH25" s="91"/>
      <x:c r="AI25" s="91"/>
      <x:c r="AJ25" s="91"/>
      <x:c r="AK25" s="91"/>
      <x:c r="AL25" s="91"/>
      <x:c r="AM25" s="91"/>
      <x:c r="AN25" s="91"/>
      <x:c r="AO25" s="91"/>
      <x:c r="AP25" s="91"/>
      <x:c r="AQ25" s="91"/>
      <x:c r="AR25" s="91"/>
      <x:c r="AS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91"/>
      <x:c r="AH26" s="91"/>
      <x:c r="AI26" s="91"/>
      <x:c r="AJ26" s="91"/>
      <x:c r="AK26" s="91"/>
      <x:c r="AL26" s="91"/>
      <x:c r="AM26" s="91"/>
      <x:c r="AN26" s="91"/>
      <x:c r="AO26" s="91"/>
      <x:c r="AP26" s="91"/>
      <x:c r="AQ26" s="91"/>
      <x:c r="AR26" s="91"/>
      <x:c r="AS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91"/>
      <x:c r="AH27" s="91"/>
      <x:c r="AI27" s="91"/>
      <x:c r="AJ27" s="91"/>
      <x:c r="AK27" s="91"/>
      <x:c r="AL27" s="91"/>
      <x:c r="AM27" s="91"/>
      <x:c r="AN27" s="91"/>
      <x:c r="AO27" s="91"/>
      <x:c r="AP27" s="91"/>
      <x:c r="AQ27" s="91"/>
      <x:c r="AR27" s="91"/>
      <x:c r="AS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91"/>
      <x:c r="AH28" s="91"/>
      <x:c r="AI28" s="91"/>
      <x:c r="AJ28" s="91"/>
      <x:c r="AK28" s="91"/>
      <x:c r="AL28" s="91"/>
      <x:c r="AM28" s="91"/>
      <x:c r="AN28" s="91"/>
      <x:c r="AO28" s="91"/>
      <x:c r="AP28" s="91"/>
      <x:c r="AQ28" s="91"/>
      <x:c r="AR28" s="91"/>
      <x:c r="AS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  <x:c r="AA29" s="91"/>
      <x:c r="AB29" s="91"/>
      <x:c r="AC29" s="91"/>
      <x:c r="AD29" s="91"/>
      <x:c r="AE29" s="91"/>
      <x:c r="AF29" s="91"/>
      <x:c r="AG29" s="91"/>
      <x:c r="AH29" s="91"/>
      <x:c r="AI29" s="91"/>
      <x:c r="AJ29" s="91"/>
      <x:c r="AK29" s="91"/>
      <x:c r="AL29" s="91"/>
      <x:c r="AM29" s="91"/>
      <x:c r="AN29" s="91"/>
      <x:c r="AO29" s="91"/>
      <x:c r="AP29" s="91"/>
      <x:c r="AQ29" s="91"/>
      <x:c r="AR29" s="91"/>
      <x:c r="AS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  <x:c r="AA30" s="91"/>
      <x:c r="AB30" s="91"/>
      <x:c r="AC30" s="91"/>
      <x:c r="AD30" s="91"/>
      <x:c r="AE30" s="91"/>
      <x:c r="AF30" s="91"/>
      <x:c r="AG30" s="91"/>
      <x:c r="AH30" s="91"/>
      <x:c r="AI30" s="91"/>
      <x:c r="AJ30" s="91"/>
      <x:c r="AK30" s="91"/>
      <x:c r="AL30" s="91"/>
      <x:c r="AM30" s="91"/>
      <x:c r="AN30" s="91"/>
      <x:c r="AO30" s="91"/>
      <x:c r="AP30" s="91"/>
      <x:c r="AQ30" s="91"/>
      <x:c r="AR30" s="91"/>
      <x:c r="AS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1"/>
      <x:c r="AF31" s="91"/>
      <x:c r="AG31" s="91"/>
      <x:c r="AH31" s="91"/>
      <x:c r="AI31" s="91"/>
      <x:c r="AJ31" s="91"/>
      <x:c r="AK31" s="91"/>
      <x:c r="AL31" s="91"/>
      <x:c r="AM31" s="91"/>
      <x:c r="AN31" s="91"/>
      <x:c r="AO31" s="91"/>
      <x:c r="AP31" s="91"/>
      <x:c r="AQ31" s="91"/>
      <x:c r="AR31" s="91"/>
      <x:c r="AS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  <x:c r="AA32" s="91"/>
      <x:c r="AB32" s="91"/>
      <x:c r="AC32" s="91"/>
      <x:c r="AD32" s="91"/>
      <x:c r="AE32" s="91"/>
      <x:c r="AF32" s="91"/>
      <x:c r="AG32" s="91"/>
      <x:c r="AH32" s="91"/>
      <x:c r="AI32" s="91"/>
      <x:c r="AJ32" s="91"/>
      <x:c r="AK32" s="91"/>
      <x:c r="AL32" s="91"/>
      <x:c r="AM32" s="91"/>
      <x:c r="AN32" s="91"/>
      <x:c r="AO32" s="91"/>
      <x:c r="AP32" s="91"/>
      <x:c r="AQ32" s="91"/>
      <x:c r="AR32" s="91"/>
      <x:c r="AS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  <x:c r="AA33" s="91"/>
      <x:c r="AB33" s="91"/>
      <x:c r="AC33" s="91"/>
      <x:c r="AD33" s="91"/>
      <x:c r="AE33" s="91"/>
      <x:c r="AF33" s="91"/>
      <x:c r="AG33" s="91"/>
      <x:c r="AH33" s="91"/>
      <x:c r="AI33" s="91"/>
      <x:c r="AJ33" s="91"/>
      <x:c r="AK33" s="91"/>
      <x:c r="AL33" s="91"/>
      <x:c r="AM33" s="91"/>
      <x:c r="AN33" s="91"/>
      <x:c r="AO33" s="91"/>
      <x:c r="AP33" s="91"/>
      <x:c r="AQ33" s="91"/>
      <x:c r="AR33" s="91"/>
      <x:c r="AS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  <x:c r="AA35" s="91"/>
      <x:c r="AB35" s="91"/>
      <x:c r="AC35" s="91"/>
      <x:c r="AD35" s="91"/>
      <x:c r="AE35" s="91"/>
      <x:c r="AF35" s="91"/>
      <x:c r="AG35" s="91"/>
      <x:c r="AH35" s="91"/>
      <x:c r="AI35" s="91"/>
      <x:c r="AJ35" s="91"/>
      <x:c r="AK35" s="91"/>
      <x:c r="AL35" s="91"/>
      <x:c r="AM35" s="91"/>
      <x:c r="AN35" s="91"/>
      <x:c r="AO35" s="91"/>
      <x:c r="AP35" s="91"/>
      <x:c r="AQ35" s="91"/>
      <x:c r="AR35" s="91"/>
      <x:c r="AS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  <x:c r="AA36" s="91"/>
      <x:c r="AB36" s="91"/>
      <x:c r="AC36" s="91"/>
      <x:c r="AD36" s="91"/>
      <x:c r="AE36" s="91"/>
      <x:c r="AF36" s="91"/>
      <x:c r="AG36" s="91"/>
      <x:c r="AH36" s="91"/>
      <x:c r="AI36" s="91"/>
      <x:c r="AJ36" s="91"/>
      <x:c r="AK36" s="91"/>
      <x:c r="AL36" s="91"/>
      <x:c r="AM36" s="91"/>
      <x:c r="AN36" s="91"/>
      <x:c r="AO36" s="91"/>
      <x:c r="AP36" s="91"/>
      <x:c r="AQ36" s="91"/>
      <x:c r="AR36" s="91"/>
      <x:c r="AS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  <x:c r="AA37" s="91"/>
      <x:c r="AB37" s="91"/>
      <x:c r="AC37" s="91"/>
      <x:c r="AD37" s="91"/>
      <x:c r="AE37" s="91"/>
      <x:c r="AF37" s="91"/>
      <x:c r="AG37" s="91"/>
      <x:c r="AH37" s="91"/>
      <x:c r="AI37" s="91"/>
      <x:c r="AJ37" s="91"/>
      <x:c r="AK37" s="91"/>
      <x:c r="AL37" s="91"/>
      <x:c r="AM37" s="91"/>
      <x:c r="AN37" s="91"/>
      <x:c r="AO37" s="91"/>
      <x:c r="AP37" s="91"/>
      <x:c r="AQ37" s="91"/>
      <x:c r="AR37" s="91"/>
      <x:c r="AS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  <x:c r="AA38" s="91"/>
      <x:c r="AB38" s="91"/>
      <x:c r="AC38" s="91"/>
      <x:c r="AD38" s="91"/>
      <x:c r="AE38" s="91"/>
      <x:c r="AF38" s="91"/>
      <x:c r="AG38" s="91"/>
      <x:c r="AH38" s="91"/>
      <x:c r="AI38" s="91"/>
      <x:c r="AJ38" s="91"/>
      <x:c r="AK38" s="91"/>
      <x:c r="AL38" s="91"/>
      <x:c r="AM38" s="91"/>
      <x:c r="AN38" s="91"/>
      <x:c r="AO38" s="91"/>
      <x:c r="AP38" s="91"/>
      <x:c r="AQ38" s="91"/>
      <x:c r="AR38" s="91"/>
      <x:c r="AS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  <x:c r="AA39" s="91"/>
      <x:c r="AB39" s="91"/>
      <x:c r="AC39" s="91"/>
      <x:c r="AD39" s="91"/>
      <x:c r="AE39" s="91"/>
      <x:c r="AF39" s="91"/>
      <x:c r="AG39" s="91"/>
      <x:c r="AH39" s="91"/>
      <x:c r="AI39" s="91"/>
      <x:c r="AJ39" s="91"/>
      <x:c r="AK39" s="91"/>
      <x:c r="AL39" s="91"/>
      <x:c r="AM39" s="91"/>
      <x:c r="AN39" s="91"/>
      <x:c r="AO39" s="91"/>
      <x:c r="AP39" s="91"/>
      <x:c r="AQ39" s="91"/>
      <x:c r="AR39" s="91"/>
      <x:c r="AS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  <x:c r="AA40" s="91"/>
      <x:c r="AB40" s="91"/>
      <x:c r="AC40" s="91"/>
      <x:c r="AD40" s="91"/>
      <x:c r="AE40" s="91"/>
      <x:c r="AF40" s="91"/>
      <x:c r="AG40" s="91"/>
      <x:c r="AH40" s="91"/>
      <x:c r="AI40" s="91"/>
      <x:c r="AJ40" s="91"/>
      <x:c r="AK40" s="91"/>
      <x:c r="AL40" s="91"/>
      <x:c r="AM40" s="91"/>
      <x:c r="AN40" s="91"/>
      <x:c r="AO40" s="91"/>
      <x:c r="AP40" s="91"/>
      <x:c r="AQ40" s="91"/>
      <x:c r="AR40" s="91"/>
      <x:c r="AS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  <x:c r="AA41" s="91"/>
      <x:c r="AB41" s="91"/>
      <x:c r="AC41" s="91"/>
      <x:c r="AD41" s="91"/>
      <x:c r="AE41" s="91"/>
      <x:c r="AF41" s="91"/>
      <x:c r="AG41" s="91"/>
      <x:c r="AH41" s="91"/>
      <x:c r="AI41" s="91"/>
      <x:c r="AJ41" s="91"/>
      <x:c r="AK41" s="91"/>
      <x:c r="AL41" s="91"/>
      <x:c r="AM41" s="91"/>
      <x:c r="AN41" s="91"/>
      <x:c r="AO41" s="91"/>
      <x:c r="AP41" s="91"/>
      <x:c r="AQ41" s="91"/>
      <x:c r="AR41" s="91"/>
      <x:c r="AS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  <x:c r="AA42" s="91"/>
      <x:c r="AB42" s="91"/>
      <x:c r="AC42" s="91"/>
      <x:c r="AD42" s="91"/>
      <x:c r="AE42" s="91"/>
      <x:c r="AF42" s="91"/>
      <x:c r="AG42" s="91"/>
      <x:c r="AH42" s="91"/>
      <x:c r="AI42" s="91"/>
      <x:c r="AJ42" s="91"/>
      <x:c r="AK42" s="91"/>
      <x:c r="AL42" s="91"/>
      <x:c r="AM42" s="91"/>
      <x:c r="AN42" s="91"/>
      <x:c r="AO42" s="91"/>
      <x:c r="AP42" s="91"/>
      <x:c r="AQ42" s="91"/>
      <x:c r="AR42" s="91"/>
      <x:c r="AS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  <x:c r="AA43" s="91"/>
      <x:c r="AB43" s="91"/>
      <x:c r="AC43" s="91"/>
      <x:c r="AD43" s="91"/>
      <x:c r="AE43" s="91"/>
      <x:c r="AF43" s="91"/>
      <x:c r="AG43" s="91"/>
      <x:c r="AH43" s="91"/>
      <x:c r="AI43" s="91"/>
      <x:c r="AJ43" s="91"/>
      <x:c r="AK43" s="91"/>
      <x:c r="AL43" s="91"/>
      <x:c r="AM43" s="91"/>
      <x:c r="AN43" s="91"/>
      <x:c r="AO43" s="91"/>
      <x:c r="AP43" s="91"/>
      <x:c r="AQ43" s="91"/>
      <x:c r="AR43" s="91"/>
      <x:c r="AS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  <x:c r="AA44" s="91"/>
      <x:c r="AB44" s="91"/>
      <x:c r="AC44" s="91"/>
      <x:c r="AD44" s="91"/>
      <x:c r="AE44" s="91"/>
      <x:c r="AF44" s="91"/>
      <x:c r="AG44" s="91"/>
      <x:c r="AH44" s="91"/>
      <x:c r="AI44" s="91"/>
      <x:c r="AJ44" s="91"/>
      <x:c r="AK44" s="91"/>
      <x:c r="AL44" s="91"/>
      <x:c r="AM44" s="91"/>
      <x:c r="AN44" s="91"/>
      <x:c r="AO44" s="91"/>
      <x:c r="AP44" s="91"/>
      <x:c r="AQ44" s="91"/>
      <x:c r="AR44" s="91"/>
      <x:c r="AS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  <x:c r="AA45" s="91"/>
      <x:c r="AB45" s="91"/>
      <x:c r="AC45" s="91"/>
      <x:c r="AD45" s="91"/>
      <x:c r="AE45" s="91"/>
      <x:c r="AF45" s="91"/>
      <x:c r="AG45" s="91"/>
      <x:c r="AH45" s="91"/>
      <x:c r="AI45" s="91"/>
      <x:c r="AJ45" s="91"/>
      <x:c r="AK45" s="91"/>
      <x:c r="AL45" s="91"/>
      <x:c r="AM45" s="91"/>
      <x:c r="AN45" s="91"/>
      <x:c r="AO45" s="91"/>
      <x:c r="AP45" s="91"/>
      <x:c r="AQ45" s="91"/>
      <x:c r="AR45" s="91"/>
      <x:c r="AS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  <x:c r="AA46" s="91"/>
      <x:c r="AB46" s="91"/>
      <x:c r="AC46" s="91"/>
      <x:c r="AD46" s="91"/>
      <x:c r="AE46" s="91"/>
      <x:c r="AF46" s="91"/>
      <x:c r="AG46" s="91"/>
      <x:c r="AH46" s="91"/>
      <x:c r="AI46" s="91"/>
      <x:c r="AJ46" s="91"/>
      <x:c r="AK46" s="91"/>
      <x:c r="AL46" s="91"/>
      <x:c r="AM46" s="91"/>
      <x:c r="AN46" s="91"/>
      <x:c r="AO46" s="91"/>
      <x:c r="AP46" s="91"/>
      <x:c r="AQ46" s="91"/>
      <x:c r="AR46" s="91"/>
      <x:c r="AS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  <x:c r="AA47" s="91"/>
      <x:c r="AB47" s="91"/>
      <x:c r="AC47" s="91"/>
      <x:c r="AD47" s="91"/>
      <x:c r="AE47" s="91"/>
      <x:c r="AF47" s="91"/>
      <x:c r="AG47" s="91"/>
      <x:c r="AH47" s="91"/>
      <x:c r="AI47" s="91"/>
      <x:c r="AJ47" s="91"/>
      <x:c r="AK47" s="91"/>
      <x:c r="AL47" s="91"/>
      <x:c r="AM47" s="91"/>
      <x:c r="AN47" s="91"/>
      <x:c r="AO47" s="91"/>
      <x:c r="AP47" s="91"/>
      <x:c r="AQ47" s="91"/>
      <x:c r="AR47" s="91"/>
      <x:c r="AS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  <x:c r="AA48" s="91"/>
      <x:c r="AB48" s="91"/>
      <x:c r="AC48" s="91"/>
      <x:c r="AD48" s="91"/>
      <x:c r="AE48" s="91"/>
      <x:c r="AF48" s="91"/>
      <x:c r="AG48" s="91"/>
      <x:c r="AH48" s="91"/>
      <x:c r="AI48" s="91"/>
      <x:c r="AJ48" s="91"/>
      <x:c r="AK48" s="91"/>
      <x:c r="AL48" s="91"/>
      <x:c r="AM48" s="91"/>
      <x:c r="AN48" s="91"/>
      <x:c r="AO48" s="91"/>
      <x:c r="AP48" s="91"/>
      <x:c r="AQ48" s="91"/>
      <x:c r="AR48" s="91"/>
      <x:c r="AS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  <x:c r="AA49" s="91"/>
      <x:c r="AB49" s="91"/>
      <x:c r="AC49" s="91"/>
      <x:c r="AD49" s="91"/>
      <x:c r="AE49" s="91"/>
      <x:c r="AF49" s="91"/>
      <x:c r="AG49" s="91"/>
      <x:c r="AH49" s="91"/>
      <x:c r="AI49" s="91"/>
      <x:c r="AJ49" s="91"/>
      <x:c r="AK49" s="91"/>
      <x:c r="AL49" s="91"/>
      <x:c r="AM49" s="91"/>
      <x:c r="AN49" s="91"/>
      <x:c r="AO49" s="91"/>
      <x:c r="AP49" s="91"/>
      <x:c r="AQ49" s="91"/>
      <x:c r="AR49" s="91"/>
      <x:c r="AS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  <x:c r="AA50" s="91"/>
      <x:c r="AB50" s="91"/>
      <x:c r="AC50" s="91"/>
      <x:c r="AD50" s="91"/>
      <x:c r="AE50" s="91"/>
      <x:c r="AF50" s="91"/>
      <x:c r="AG50" s="91"/>
      <x:c r="AH50" s="91"/>
      <x:c r="AI50" s="91"/>
      <x:c r="AJ50" s="91"/>
      <x:c r="AK50" s="91"/>
      <x:c r="AL50" s="91"/>
      <x:c r="AM50" s="91"/>
      <x:c r="AN50" s="91"/>
      <x:c r="AO50" s="91"/>
      <x:c r="AP50" s="91"/>
      <x:c r="AQ50" s="91"/>
      <x:c r="AR50" s="91"/>
      <x:c r="AS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  <x:c r="AA51" s="91"/>
      <x:c r="AB51" s="91"/>
      <x:c r="AC51" s="91"/>
      <x:c r="AD51" s="91"/>
      <x:c r="AE51" s="91"/>
      <x:c r="AF51" s="91"/>
      <x:c r="AG51" s="91"/>
      <x:c r="AH51" s="91"/>
      <x:c r="AI51" s="91"/>
      <x:c r="AJ51" s="91"/>
      <x:c r="AK51" s="91"/>
      <x:c r="AL51" s="91"/>
      <x:c r="AM51" s="91"/>
      <x:c r="AN51" s="91"/>
      <x:c r="AO51" s="91"/>
      <x:c r="AP51" s="91"/>
      <x:c r="AQ51" s="91"/>
      <x:c r="AR51" s="91"/>
      <x:c r="AS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  <x:c r="AA52" s="91"/>
      <x:c r="AB52" s="91"/>
      <x:c r="AC52" s="91"/>
      <x:c r="AD52" s="91"/>
      <x:c r="AE52" s="91"/>
      <x:c r="AF52" s="91"/>
      <x:c r="AG52" s="91"/>
      <x:c r="AH52" s="91"/>
      <x:c r="AI52" s="91"/>
      <x:c r="AJ52" s="91"/>
      <x:c r="AK52" s="91"/>
      <x:c r="AL52" s="91"/>
      <x:c r="AM52" s="91"/>
      <x:c r="AN52" s="91"/>
      <x:c r="AO52" s="91"/>
      <x:c r="AP52" s="91"/>
      <x:c r="AQ52" s="91"/>
      <x:c r="AR52" s="91"/>
      <x:c r="AS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  <x:c r="AA53" s="91"/>
      <x:c r="AB53" s="91"/>
      <x:c r="AC53" s="91"/>
      <x:c r="AD53" s="91"/>
      <x:c r="AE53" s="91"/>
      <x:c r="AF53" s="91"/>
      <x:c r="AG53" s="91"/>
      <x:c r="AH53" s="91"/>
      <x:c r="AI53" s="91"/>
      <x:c r="AJ53" s="91"/>
      <x:c r="AK53" s="91"/>
      <x:c r="AL53" s="91"/>
      <x:c r="AM53" s="91"/>
      <x:c r="AN53" s="91"/>
      <x:c r="AO53" s="91"/>
      <x:c r="AP53" s="91"/>
      <x:c r="AQ53" s="91"/>
      <x:c r="AR53" s="91"/>
      <x:c r="AS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  <x:c r="AA54" s="91"/>
      <x:c r="AB54" s="91"/>
      <x:c r="AC54" s="91"/>
      <x:c r="AD54" s="91"/>
      <x:c r="AE54" s="91"/>
      <x:c r="AF54" s="91"/>
      <x:c r="AG54" s="91"/>
      <x:c r="AH54" s="91"/>
      <x:c r="AI54" s="91"/>
      <x:c r="AJ54" s="91"/>
      <x:c r="AK54" s="91"/>
      <x:c r="AL54" s="91"/>
      <x:c r="AM54" s="91"/>
      <x:c r="AN54" s="91"/>
      <x:c r="AO54" s="91"/>
      <x:c r="AP54" s="91"/>
      <x:c r="AQ54" s="91"/>
      <x:c r="AR54" s="91"/>
      <x:c r="AS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  <x:c r="AA55" s="91"/>
      <x:c r="AB55" s="91"/>
      <x:c r="AC55" s="91"/>
      <x:c r="AD55" s="91"/>
      <x:c r="AE55" s="91"/>
      <x:c r="AF55" s="91"/>
      <x:c r="AG55" s="91"/>
      <x:c r="AH55" s="91"/>
      <x:c r="AI55" s="91"/>
      <x:c r="AJ55" s="91"/>
      <x:c r="AK55" s="91"/>
      <x:c r="AL55" s="91"/>
      <x:c r="AM55" s="91"/>
      <x:c r="AN55" s="91"/>
      <x:c r="AO55" s="91"/>
      <x:c r="AP55" s="91"/>
      <x:c r="AQ55" s="91"/>
      <x:c r="AR55" s="91"/>
      <x:c r="AS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  <x:c r="AA56" s="91"/>
      <x:c r="AB56" s="91"/>
      <x:c r="AC56" s="91"/>
      <x:c r="AD56" s="91"/>
      <x:c r="AE56" s="91"/>
      <x:c r="AF56" s="91"/>
      <x:c r="AG56" s="91"/>
      <x:c r="AH56" s="91"/>
      <x:c r="AI56" s="91"/>
      <x:c r="AJ56" s="91"/>
      <x:c r="AK56" s="91"/>
      <x:c r="AL56" s="91"/>
      <x:c r="AM56" s="91"/>
      <x:c r="AN56" s="91"/>
      <x:c r="AO56" s="91"/>
      <x:c r="AP56" s="91"/>
      <x:c r="AQ56" s="91"/>
      <x:c r="AR56" s="91"/>
      <x:c r="AS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  <x:c r="AA57" s="91"/>
      <x:c r="AB57" s="91"/>
      <x:c r="AC57" s="91"/>
      <x:c r="AD57" s="91"/>
      <x:c r="AE57" s="91"/>
      <x:c r="AF57" s="91"/>
      <x:c r="AG57" s="91"/>
      <x:c r="AH57" s="91"/>
      <x:c r="AI57" s="91"/>
      <x:c r="AJ57" s="91"/>
      <x:c r="AK57" s="91"/>
      <x:c r="AL57" s="91"/>
      <x:c r="AM57" s="91"/>
      <x:c r="AN57" s="91"/>
      <x:c r="AO57" s="91"/>
      <x:c r="AP57" s="91"/>
      <x:c r="AQ57" s="91"/>
      <x:c r="AR57" s="91"/>
      <x:c r="AS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  <x:c r="AA58" s="91"/>
      <x:c r="AB58" s="91"/>
      <x:c r="AC58" s="91"/>
      <x:c r="AD58" s="91"/>
      <x:c r="AE58" s="91"/>
      <x:c r="AF58" s="91"/>
      <x:c r="AG58" s="91"/>
      <x:c r="AH58" s="91"/>
      <x:c r="AI58" s="91"/>
      <x:c r="AJ58" s="91"/>
      <x:c r="AK58" s="91"/>
      <x:c r="AL58" s="91"/>
      <x:c r="AM58" s="91"/>
      <x:c r="AN58" s="91"/>
      <x:c r="AO58" s="91"/>
      <x:c r="AP58" s="91"/>
      <x:c r="AQ58" s="91"/>
      <x:c r="AR58" s="91"/>
      <x:c r="AS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  <x:c r="AA59" s="91"/>
      <x:c r="AB59" s="91"/>
      <x:c r="AC59" s="91"/>
      <x:c r="AD59" s="91"/>
      <x:c r="AE59" s="91"/>
      <x:c r="AF59" s="91"/>
      <x:c r="AG59" s="91"/>
      <x:c r="AH59" s="91"/>
      <x:c r="AI59" s="91"/>
      <x:c r="AJ59" s="91"/>
      <x:c r="AK59" s="91"/>
      <x:c r="AL59" s="91"/>
      <x:c r="AM59" s="91"/>
      <x:c r="AN59" s="91"/>
      <x:c r="AO59" s="91"/>
      <x:c r="AP59" s="91"/>
      <x:c r="AQ59" s="91"/>
      <x:c r="AR59" s="91"/>
      <x:c r="AS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  <x:c r="AA60" s="91"/>
      <x:c r="AB60" s="91"/>
      <x:c r="AC60" s="91"/>
      <x:c r="AD60" s="91"/>
      <x:c r="AE60" s="91"/>
      <x:c r="AF60" s="91"/>
      <x:c r="AG60" s="91"/>
      <x:c r="AH60" s="91"/>
      <x:c r="AI60" s="91"/>
      <x:c r="AJ60" s="91"/>
      <x:c r="AK60" s="91"/>
      <x:c r="AL60" s="91"/>
      <x:c r="AM60" s="91"/>
      <x:c r="AN60" s="91"/>
      <x:c r="AO60" s="91"/>
      <x:c r="AP60" s="91"/>
      <x:c r="AQ60" s="91"/>
      <x:c r="AR60" s="91"/>
      <x:c r="AS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  <x:c r="AA61" s="91"/>
      <x:c r="AB61" s="91"/>
      <x:c r="AC61" s="91"/>
      <x:c r="AD61" s="91"/>
      <x:c r="AE61" s="91"/>
      <x:c r="AF61" s="91"/>
      <x:c r="AG61" s="91"/>
      <x:c r="AH61" s="91"/>
      <x:c r="AI61" s="91"/>
      <x:c r="AJ61" s="91"/>
      <x:c r="AK61" s="91"/>
      <x:c r="AL61" s="91"/>
      <x:c r="AM61" s="91"/>
      <x:c r="AN61" s="91"/>
      <x:c r="AO61" s="91"/>
      <x:c r="AP61" s="91"/>
      <x:c r="AQ61" s="91"/>
      <x:c r="AR61" s="91"/>
      <x:c r="AS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  <x:c r="AA62" s="91"/>
      <x:c r="AB62" s="91"/>
      <x:c r="AC62" s="91"/>
      <x:c r="AD62" s="91"/>
      <x:c r="AE62" s="91"/>
      <x:c r="AF62" s="91"/>
      <x:c r="AG62" s="91"/>
      <x:c r="AH62" s="91"/>
      <x:c r="AI62" s="91"/>
      <x:c r="AJ62" s="91"/>
      <x:c r="AK62" s="91"/>
      <x:c r="AL62" s="91"/>
      <x:c r="AM62" s="91"/>
      <x:c r="AN62" s="91"/>
      <x:c r="AO62" s="91"/>
      <x:c r="AP62" s="91"/>
      <x:c r="AQ62" s="91"/>
      <x:c r="AR62" s="91"/>
      <x:c r="AS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  <x:c r="AA63" s="91"/>
      <x:c r="AB63" s="91"/>
      <x:c r="AC63" s="91"/>
      <x:c r="AD63" s="91"/>
      <x:c r="AE63" s="91"/>
      <x:c r="AF63" s="91"/>
      <x:c r="AG63" s="91"/>
      <x:c r="AH63" s="91"/>
      <x:c r="AI63" s="91"/>
      <x:c r="AJ63" s="91"/>
      <x:c r="AK63" s="91"/>
      <x:c r="AL63" s="91"/>
      <x:c r="AM63" s="91"/>
      <x:c r="AN63" s="91"/>
      <x:c r="AO63" s="91"/>
      <x:c r="AP63" s="91"/>
      <x:c r="AQ63" s="91"/>
      <x:c r="AR63" s="91"/>
      <x:c r="AS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  <x:c r="AA64" s="91"/>
      <x:c r="AB64" s="91"/>
      <x:c r="AC64" s="91"/>
      <x:c r="AD64" s="91"/>
      <x:c r="AE64" s="91"/>
      <x:c r="AF64" s="91"/>
      <x:c r="AG64" s="91"/>
      <x:c r="AH64" s="91"/>
      <x:c r="AI64" s="91"/>
      <x:c r="AJ64" s="91"/>
      <x:c r="AK64" s="91"/>
      <x:c r="AL64" s="91"/>
      <x:c r="AM64" s="91"/>
      <x:c r="AN64" s="91"/>
      <x:c r="AO64" s="91"/>
      <x:c r="AP64" s="91"/>
      <x:c r="AQ64" s="91"/>
      <x:c r="AR64" s="91"/>
      <x:c r="AS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  <x:c r="AA65" s="91"/>
      <x:c r="AB65" s="91"/>
      <x:c r="AC65" s="91"/>
      <x:c r="AD65" s="91"/>
      <x:c r="AE65" s="91"/>
      <x:c r="AF65" s="91"/>
      <x:c r="AG65" s="91"/>
      <x:c r="AH65" s="91"/>
      <x:c r="AI65" s="91"/>
      <x:c r="AJ65" s="91"/>
      <x:c r="AK65" s="91"/>
      <x:c r="AL65" s="91"/>
      <x:c r="AM65" s="91"/>
      <x:c r="AN65" s="91"/>
      <x:c r="AO65" s="91"/>
      <x:c r="AP65" s="91"/>
      <x:c r="AQ65" s="91"/>
      <x:c r="AR65" s="91"/>
      <x:c r="AS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  <x:c r="AA66" s="91"/>
      <x:c r="AB66" s="91"/>
      <x:c r="AC66" s="91"/>
      <x:c r="AD66" s="91"/>
      <x:c r="AE66" s="91"/>
      <x:c r="AF66" s="91"/>
      <x:c r="AG66" s="91"/>
      <x:c r="AH66" s="91"/>
      <x:c r="AI66" s="91"/>
      <x:c r="AJ66" s="91"/>
      <x:c r="AK66" s="91"/>
      <x:c r="AL66" s="91"/>
      <x:c r="AM66" s="91"/>
      <x:c r="AN66" s="91"/>
      <x:c r="AO66" s="91"/>
      <x:c r="AP66" s="91"/>
      <x:c r="AQ66" s="91"/>
      <x:c r="AR66" s="91"/>
      <x:c r="AS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  <x:c r="AA67" s="91"/>
      <x:c r="AB67" s="91"/>
      <x:c r="AC67" s="91"/>
      <x:c r="AD67" s="91"/>
      <x:c r="AE67" s="91"/>
      <x:c r="AF67" s="91"/>
      <x:c r="AG67" s="91"/>
      <x:c r="AH67" s="91"/>
      <x:c r="AI67" s="91"/>
      <x:c r="AJ67" s="91"/>
      <x:c r="AK67" s="91"/>
      <x:c r="AL67" s="91"/>
      <x:c r="AM67" s="91"/>
      <x:c r="AN67" s="91"/>
      <x:c r="AO67" s="91"/>
      <x:c r="AP67" s="91"/>
      <x:c r="AQ67" s="91"/>
      <x:c r="AR67" s="91"/>
      <x:c r="AS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  <x:c r="AA68" s="91"/>
      <x:c r="AB68" s="91"/>
      <x:c r="AC68" s="91"/>
      <x:c r="AD68" s="91"/>
      <x:c r="AE68" s="91"/>
      <x:c r="AF68" s="91"/>
      <x:c r="AG68" s="91"/>
      <x:c r="AH68" s="91"/>
      <x:c r="AI68" s="91"/>
      <x:c r="AJ68" s="91"/>
      <x:c r="AK68" s="91"/>
      <x:c r="AL68" s="91"/>
      <x:c r="AM68" s="91"/>
      <x:c r="AN68" s="91"/>
      <x:c r="AO68" s="91"/>
      <x:c r="AP68" s="91"/>
      <x:c r="AQ68" s="91"/>
      <x:c r="AR68" s="91"/>
      <x:c r="AS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  <x:c r="AA69" s="91"/>
      <x:c r="AB69" s="91"/>
      <x:c r="AC69" s="91"/>
      <x:c r="AD69" s="91"/>
      <x:c r="AE69" s="91"/>
      <x:c r="AF69" s="91"/>
      <x:c r="AG69" s="91"/>
      <x:c r="AH69" s="91"/>
      <x:c r="AI69" s="91"/>
      <x:c r="AJ69" s="91"/>
      <x:c r="AK69" s="91"/>
      <x:c r="AL69" s="91"/>
      <x:c r="AM69" s="91"/>
      <x:c r="AN69" s="91"/>
      <x:c r="AO69" s="91"/>
      <x:c r="AP69" s="91"/>
      <x:c r="AQ69" s="91"/>
      <x:c r="AR69" s="91"/>
      <x:c r="AS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  <x:c r="AA70" s="91"/>
      <x:c r="AB70" s="91"/>
      <x:c r="AC70" s="91"/>
      <x:c r="AD70" s="91"/>
      <x:c r="AE70" s="91"/>
      <x:c r="AF70" s="91"/>
      <x:c r="AG70" s="91"/>
      <x:c r="AH70" s="91"/>
      <x:c r="AI70" s="91"/>
      <x:c r="AJ70" s="91"/>
      <x:c r="AK70" s="91"/>
      <x:c r="AL70" s="91"/>
      <x:c r="AM70" s="91"/>
      <x:c r="AN70" s="91"/>
      <x:c r="AO70" s="91"/>
      <x:c r="AP70" s="91"/>
      <x:c r="AQ70" s="91"/>
      <x:c r="AR70" s="91"/>
      <x:c r="AS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  <x:c r="AA71" s="91"/>
      <x:c r="AB71" s="91"/>
      <x:c r="AC71" s="91"/>
      <x:c r="AD71" s="91"/>
      <x:c r="AE71" s="91"/>
      <x:c r="AF71" s="91"/>
      <x:c r="AG71" s="91"/>
      <x:c r="AH71" s="91"/>
      <x:c r="AI71" s="91"/>
      <x:c r="AJ71" s="91"/>
      <x:c r="AK71" s="91"/>
      <x:c r="AL71" s="91"/>
      <x:c r="AM71" s="91"/>
      <x:c r="AN71" s="91"/>
      <x:c r="AO71" s="91"/>
      <x:c r="AP71" s="91"/>
      <x:c r="AQ71" s="91"/>
      <x:c r="AR71" s="91"/>
      <x:c r="AS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  <x:c r="AA72" s="91"/>
      <x:c r="AB72" s="91"/>
      <x:c r="AC72" s="91"/>
      <x:c r="AD72" s="91"/>
      <x:c r="AE72" s="91"/>
      <x:c r="AF72" s="91"/>
      <x:c r="AG72" s="91"/>
      <x:c r="AH72" s="91"/>
      <x:c r="AI72" s="91"/>
      <x:c r="AJ72" s="91"/>
      <x:c r="AK72" s="91"/>
      <x:c r="AL72" s="91"/>
      <x:c r="AM72" s="91"/>
      <x:c r="AN72" s="91"/>
      <x:c r="AO72" s="91"/>
      <x:c r="AP72" s="91"/>
      <x:c r="AQ72" s="91"/>
      <x:c r="AR72" s="91"/>
      <x:c r="AS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  <x:c r="AA73" s="91"/>
      <x:c r="AB73" s="91"/>
      <x:c r="AC73" s="91"/>
      <x:c r="AD73" s="91"/>
      <x:c r="AE73" s="91"/>
      <x:c r="AF73" s="91"/>
      <x:c r="AG73" s="91"/>
      <x:c r="AH73" s="91"/>
      <x:c r="AI73" s="91"/>
      <x:c r="AJ73" s="91"/>
      <x:c r="AK73" s="91"/>
      <x:c r="AL73" s="91"/>
      <x:c r="AM73" s="91"/>
      <x:c r="AN73" s="91"/>
      <x:c r="AO73" s="91"/>
      <x:c r="AP73" s="91"/>
      <x:c r="AQ73" s="91"/>
      <x:c r="AR73" s="91"/>
      <x:c r="AS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  <x:c r="AA74" s="91"/>
      <x:c r="AB74" s="91"/>
      <x:c r="AC74" s="91"/>
      <x:c r="AD74" s="91"/>
      <x:c r="AE74" s="91"/>
      <x:c r="AF74" s="91"/>
      <x:c r="AG74" s="91"/>
      <x:c r="AH74" s="91"/>
      <x:c r="AI74" s="91"/>
      <x:c r="AJ74" s="91"/>
      <x:c r="AK74" s="91"/>
      <x:c r="AL74" s="91"/>
      <x:c r="AM74" s="91"/>
      <x:c r="AN74" s="91"/>
      <x:c r="AO74" s="91"/>
      <x:c r="AP74" s="91"/>
      <x:c r="AQ74" s="91"/>
      <x:c r="AR74" s="91"/>
      <x:c r="AS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  <x:c r="AA75" s="91"/>
      <x:c r="AB75" s="91"/>
      <x:c r="AC75" s="91"/>
      <x:c r="AD75" s="91"/>
      <x:c r="AE75" s="91"/>
      <x:c r="AF75" s="91"/>
      <x:c r="AG75" s="91"/>
      <x:c r="AH75" s="91"/>
      <x:c r="AI75" s="91"/>
      <x:c r="AJ75" s="91"/>
      <x:c r="AK75" s="91"/>
      <x:c r="AL75" s="91"/>
      <x:c r="AM75" s="91"/>
      <x:c r="AN75" s="91"/>
      <x:c r="AO75" s="91"/>
      <x:c r="AP75" s="91"/>
      <x:c r="AQ75" s="91"/>
      <x:c r="AR75" s="91"/>
      <x:c r="AS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  <x:c r="AA76" s="91"/>
      <x:c r="AB76" s="91"/>
      <x:c r="AC76" s="91"/>
      <x:c r="AD76" s="91"/>
      <x:c r="AE76" s="91"/>
      <x:c r="AF76" s="91"/>
      <x:c r="AG76" s="91"/>
      <x:c r="AH76" s="91"/>
      <x:c r="AI76" s="91"/>
      <x:c r="AJ76" s="91"/>
      <x:c r="AK76" s="91"/>
      <x:c r="AL76" s="91"/>
      <x:c r="AM76" s="91"/>
      <x:c r="AN76" s="91"/>
      <x:c r="AO76" s="91"/>
      <x:c r="AP76" s="91"/>
      <x:c r="AQ76" s="91"/>
      <x:c r="AR76" s="91"/>
      <x:c r="AS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  <x:c r="AA77" s="91"/>
      <x:c r="AB77" s="91"/>
      <x:c r="AC77" s="91"/>
      <x:c r="AD77" s="91"/>
      <x:c r="AE77" s="91"/>
      <x:c r="AF77" s="91"/>
      <x:c r="AG77" s="91"/>
      <x:c r="AH77" s="91"/>
      <x:c r="AI77" s="91"/>
      <x:c r="AJ77" s="91"/>
      <x:c r="AK77" s="91"/>
      <x:c r="AL77" s="91"/>
      <x:c r="AM77" s="91"/>
      <x:c r="AN77" s="91"/>
      <x:c r="AO77" s="91"/>
      <x:c r="AP77" s="91"/>
      <x:c r="AQ77" s="91"/>
      <x:c r="AR77" s="91"/>
      <x:c r="AS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  <x:c r="AA78" s="91"/>
      <x:c r="AB78" s="91"/>
      <x:c r="AC78" s="91"/>
      <x:c r="AD78" s="91"/>
      <x:c r="AE78" s="91"/>
      <x:c r="AF78" s="91"/>
      <x:c r="AG78" s="91"/>
      <x:c r="AH78" s="91"/>
      <x:c r="AI78" s="91"/>
      <x:c r="AJ78" s="91"/>
      <x:c r="AK78" s="91"/>
      <x:c r="AL78" s="91"/>
      <x:c r="AM78" s="91"/>
      <x:c r="AN78" s="91"/>
      <x:c r="AO78" s="91"/>
      <x:c r="AP78" s="91"/>
      <x:c r="AQ78" s="91"/>
      <x:c r="AR78" s="91"/>
      <x:c r="AS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  <x:c r="AA79" s="91"/>
      <x:c r="AB79" s="91"/>
      <x:c r="AC79" s="91"/>
      <x:c r="AD79" s="91"/>
      <x:c r="AE79" s="91"/>
      <x:c r="AF79" s="91"/>
      <x:c r="AG79" s="91"/>
      <x:c r="AH79" s="91"/>
      <x:c r="AI79" s="91"/>
      <x:c r="AJ79" s="91"/>
      <x:c r="AK79" s="91"/>
      <x:c r="AL79" s="91"/>
      <x:c r="AM79" s="91"/>
      <x:c r="AN79" s="91"/>
      <x:c r="AO79" s="91"/>
      <x:c r="AP79" s="91"/>
      <x:c r="AQ79" s="91"/>
      <x:c r="AR79" s="91"/>
      <x:c r="AS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  <x:c r="AA80" s="91"/>
      <x:c r="AB80" s="91"/>
      <x:c r="AC80" s="91"/>
      <x:c r="AD80" s="91"/>
      <x:c r="AE80" s="91"/>
      <x:c r="AF80" s="91"/>
      <x:c r="AG80" s="91"/>
      <x:c r="AH80" s="91"/>
      <x:c r="AI80" s="91"/>
      <x:c r="AJ80" s="91"/>
      <x:c r="AK80" s="91"/>
      <x:c r="AL80" s="91"/>
      <x:c r="AM80" s="91"/>
      <x:c r="AN80" s="91"/>
      <x:c r="AO80" s="91"/>
      <x:c r="AP80" s="91"/>
      <x:c r="AQ80" s="91"/>
      <x:c r="AR80" s="91"/>
      <x:c r="AS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  <x:c r="AA81" s="91"/>
      <x:c r="AB81" s="91"/>
      <x:c r="AC81" s="91"/>
      <x:c r="AD81" s="91"/>
      <x:c r="AE81" s="91"/>
      <x:c r="AF81" s="91"/>
      <x:c r="AG81" s="91"/>
      <x:c r="AH81" s="91"/>
      <x:c r="AI81" s="91"/>
      <x:c r="AJ81" s="91"/>
      <x:c r="AK81" s="91"/>
      <x:c r="AL81" s="91"/>
      <x:c r="AM81" s="91"/>
      <x:c r="AN81" s="91"/>
      <x:c r="AO81" s="91"/>
      <x:c r="AP81" s="91"/>
      <x:c r="AQ81" s="91"/>
      <x:c r="AR81" s="91"/>
      <x:c r="AS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  <x:c r="AA82" s="91"/>
      <x:c r="AB82" s="91"/>
      <x:c r="AC82" s="91"/>
      <x:c r="AD82" s="91"/>
      <x:c r="AE82" s="91"/>
      <x:c r="AF82" s="91"/>
      <x:c r="AG82" s="91"/>
      <x:c r="AH82" s="91"/>
      <x:c r="AI82" s="91"/>
      <x:c r="AJ82" s="91"/>
      <x:c r="AK82" s="91"/>
      <x:c r="AL82" s="91"/>
      <x:c r="AM82" s="91"/>
      <x:c r="AN82" s="91"/>
      <x:c r="AO82" s="91"/>
      <x:c r="AP82" s="91"/>
      <x:c r="AQ82" s="91"/>
      <x:c r="AR82" s="91"/>
      <x:c r="AS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  <x:c r="AA83" s="91"/>
      <x:c r="AB83" s="91"/>
      <x:c r="AC83" s="91"/>
      <x:c r="AD83" s="91"/>
      <x:c r="AE83" s="91"/>
      <x:c r="AF83" s="91"/>
      <x:c r="AG83" s="91"/>
      <x:c r="AH83" s="91"/>
      <x:c r="AI83" s="91"/>
      <x:c r="AJ83" s="91"/>
      <x:c r="AK83" s="91"/>
      <x:c r="AL83" s="91"/>
      <x:c r="AM83" s="91"/>
      <x:c r="AN83" s="91"/>
      <x:c r="AO83" s="91"/>
      <x:c r="AP83" s="91"/>
      <x:c r="AQ83" s="91"/>
      <x:c r="AR83" s="91"/>
      <x:c r="AS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  <x:c r="AA84" s="91"/>
      <x:c r="AB84" s="91"/>
      <x:c r="AC84" s="91"/>
      <x:c r="AD84" s="91"/>
      <x:c r="AE84" s="91"/>
      <x:c r="AF84" s="91"/>
      <x:c r="AG84" s="91"/>
      <x:c r="AH84" s="91"/>
      <x:c r="AI84" s="91"/>
      <x:c r="AJ84" s="91"/>
      <x:c r="AK84" s="91"/>
      <x:c r="AL84" s="91"/>
      <x:c r="AM84" s="91"/>
      <x:c r="AN84" s="91"/>
      <x:c r="AO84" s="91"/>
      <x:c r="AP84" s="91"/>
      <x:c r="AQ84" s="91"/>
      <x:c r="AR84" s="91"/>
      <x:c r="AS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  <x:c r="AA85" s="91"/>
      <x:c r="AB85" s="91"/>
      <x:c r="AC85" s="91"/>
      <x:c r="AD85" s="91"/>
      <x:c r="AE85" s="91"/>
      <x:c r="AF85" s="91"/>
      <x:c r="AG85" s="91"/>
      <x:c r="AH85" s="91"/>
      <x:c r="AI85" s="91"/>
      <x:c r="AJ85" s="91"/>
      <x:c r="AK85" s="91"/>
      <x:c r="AL85" s="91"/>
      <x:c r="AM85" s="91"/>
      <x:c r="AN85" s="91"/>
      <x:c r="AO85" s="91"/>
      <x:c r="AP85" s="91"/>
      <x:c r="AQ85" s="91"/>
      <x:c r="AR85" s="91"/>
      <x:c r="AS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  <x:c r="AA86" s="91"/>
      <x:c r="AB86" s="91"/>
      <x:c r="AC86" s="91"/>
      <x:c r="AD86" s="91"/>
      <x:c r="AE86" s="91"/>
      <x:c r="AF86" s="91"/>
      <x:c r="AG86" s="91"/>
      <x:c r="AH86" s="91"/>
      <x:c r="AI86" s="91"/>
      <x:c r="AJ86" s="91"/>
      <x:c r="AK86" s="91"/>
      <x:c r="AL86" s="91"/>
      <x:c r="AM86" s="91"/>
      <x:c r="AN86" s="91"/>
      <x:c r="AO86" s="91"/>
      <x:c r="AP86" s="91"/>
      <x:c r="AQ86" s="91"/>
      <x:c r="AR86" s="91"/>
      <x:c r="AS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  <x:c r="AA87" s="91"/>
      <x:c r="AB87" s="91"/>
      <x:c r="AC87" s="91"/>
      <x:c r="AD87" s="91"/>
      <x:c r="AE87" s="91"/>
      <x:c r="AF87" s="91"/>
      <x:c r="AG87" s="91"/>
      <x:c r="AH87" s="91"/>
      <x:c r="AI87" s="91"/>
      <x:c r="AJ87" s="91"/>
      <x:c r="AK87" s="91"/>
      <x:c r="AL87" s="91"/>
      <x:c r="AM87" s="91"/>
      <x:c r="AN87" s="91"/>
      <x:c r="AO87" s="91"/>
      <x:c r="AP87" s="91"/>
      <x:c r="AQ87" s="91"/>
      <x:c r="AR87" s="91"/>
      <x:c r="AS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  <x:c r="AA88" s="91"/>
      <x:c r="AB88" s="91"/>
      <x:c r="AC88" s="91"/>
      <x:c r="AD88" s="91"/>
      <x:c r="AE88" s="91"/>
      <x:c r="AF88" s="91"/>
      <x:c r="AG88" s="91"/>
      <x:c r="AH88" s="91"/>
      <x:c r="AI88" s="91"/>
      <x:c r="AJ88" s="91"/>
      <x:c r="AK88" s="91"/>
      <x:c r="AL88" s="91"/>
      <x:c r="AM88" s="91"/>
      <x:c r="AN88" s="91"/>
      <x:c r="AO88" s="91"/>
      <x:c r="AP88" s="91"/>
      <x:c r="AQ88" s="91"/>
      <x:c r="AR88" s="91"/>
      <x:c r="AS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  <x:c r="AA89" s="91"/>
      <x:c r="AB89" s="91"/>
      <x:c r="AC89" s="91"/>
      <x:c r="AD89" s="91"/>
      <x:c r="AE89" s="91"/>
      <x:c r="AF89" s="91"/>
      <x:c r="AG89" s="91"/>
      <x:c r="AH89" s="91"/>
      <x:c r="AI89" s="91"/>
      <x:c r="AJ89" s="91"/>
      <x:c r="AK89" s="91"/>
      <x:c r="AL89" s="91"/>
      <x:c r="AM89" s="91"/>
      <x:c r="AN89" s="91"/>
      <x:c r="AO89" s="91"/>
      <x:c r="AP89" s="91"/>
      <x:c r="AQ89" s="91"/>
      <x:c r="AR89" s="91"/>
      <x:c r="AS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  <x:c r="AA90" s="91"/>
      <x:c r="AB90" s="91"/>
      <x:c r="AC90" s="91"/>
      <x:c r="AD90" s="91"/>
      <x:c r="AE90" s="91"/>
      <x:c r="AF90" s="91"/>
      <x:c r="AG90" s="91"/>
      <x:c r="AH90" s="91"/>
      <x:c r="AI90" s="91"/>
      <x:c r="AJ90" s="91"/>
      <x:c r="AK90" s="91"/>
      <x:c r="AL90" s="91"/>
      <x:c r="AM90" s="91"/>
      <x:c r="AN90" s="91"/>
      <x:c r="AO90" s="91"/>
      <x:c r="AP90" s="91"/>
      <x:c r="AQ90" s="91"/>
      <x:c r="AR90" s="91"/>
      <x:c r="AS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  <x:c r="AA91" s="91"/>
      <x:c r="AB91" s="91"/>
      <x:c r="AC91" s="91"/>
      <x:c r="AD91" s="91"/>
      <x:c r="AE91" s="91"/>
      <x:c r="AF91" s="91"/>
      <x:c r="AG91" s="91"/>
      <x:c r="AH91" s="91"/>
      <x:c r="AI91" s="91"/>
      <x:c r="AJ91" s="91"/>
      <x:c r="AK91" s="91"/>
      <x:c r="AL91" s="91"/>
      <x:c r="AM91" s="91"/>
      <x:c r="AN91" s="91"/>
      <x:c r="AO91" s="91"/>
      <x:c r="AP91" s="91"/>
      <x:c r="AQ91" s="91"/>
      <x:c r="AR91" s="91"/>
      <x:c r="AS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  <x:c r="AA92" s="91"/>
      <x:c r="AB92" s="91"/>
      <x:c r="AC92" s="91"/>
      <x:c r="AD92" s="91"/>
      <x:c r="AE92" s="91"/>
      <x:c r="AF92" s="91"/>
      <x:c r="AG92" s="91"/>
      <x:c r="AH92" s="91"/>
      <x:c r="AI92" s="91"/>
      <x:c r="AJ92" s="91"/>
      <x:c r="AK92" s="91"/>
      <x:c r="AL92" s="91"/>
      <x:c r="AM92" s="91"/>
      <x:c r="AN92" s="91"/>
      <x:c r="AO92" s="91"/>
      <x:c r="AP92" s="91"/>
      <x:c r="AQ92" s="91"/>
      <x:c r="AR92" s="91"/>
      <x:c r="AS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  <x:c r="AA93" s="91"/>
      <x:c r="AB93" s="91"/>
      <x:c r="AC93" s="91"/>
      <x:c r="AD93" s="91"/>
      <x:c r="AE93" s="91"/>
      <x:c r="AF93" s="91"/>
      <x:c r="AG93" s="91"/>
      <x:c r="AH93" s="91"/>
      <x:c r="AI93" s="91"/>
      <x:c r="AJ93" s="91"/>
      <x:c r="AK93" s="91"/>
      <x:c r="AL93" s="91"/>
      <x:c r="AM93" s="91"/>
      <x:c r="AN93" s="91"/>
      <x:c r="AO93" s="91"/>
      <x:c r="AP93" s="91"/>
      <x:c r="AQ93" s="91"/>
      <x:c r="AR93" s="91"/>
      <x:c r="AS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  <x:c r="AA94" s="91"/>
      <x:c r="AB94" s="91"/>
      <x:c r="AC94" s="91"/>
      <x:c r="AD94" s="91"/>
      <x:c r="AE94" s="91"/>
      <x:c r="AF94" s="91"/>
      <x:c r="AG94" s="91"/>
      <x:c r="AH94" s="91"/>
      <x:c r="AI94" s="91"/>
      <x:c r="AJ94" s="91"/>
      <x:c r="AK94" s="91"/>
      <x:c r="AL94" s="91"/>
      <x:c r="AM94" s="91"/>
      <x:c r="AN94" s="91"/>
      <x:c r="AO94" s="91"/>
      <x:c r="AP94" s="91"/>
      <x:c r="AQ94" s="91"/>
      <x:c r="AR94" s="91"/>
      <x:c r="AS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  <x:c r="AA95" s="91"/>
      <x:c r="AB95" s="91"/>
      <x:c r="AC95" s="91"/>
      <x:c r="AD95" s="91"/>
      <x:c r="AE95" s="91"/>
      <x:c r="AF95" s="91"/>
      <x:c r="AG95" s="91"/>
      <x:c r="AH95" s="91"/>
      <x:c r="AI95" s="91"/>
      <x:c r="AJ95" s="91"/>
      <x:c r="AK95" s="91"/>
      <x:c r="AL95" s="91"/>
      <x:c r="AM95" s="91"/>
      <x:c r="AN95" s="91"/>
      <x:c r="AO95" s="91"/>
      <x:c r="AP95" s="91"/>
      <x:c r="AQ95" s="91"/>
      <x:c r="AR95" s="91"/>
      <x:c r="AS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  <x:c r="AA96" s="91"/>
      <x:c r="AB96" s="91"/>
      <x:c r="AC96" s="91"/>
      <x:c r="AD96" s="91"/>
      <x:c r="AE96" s="91"/>
      <x:c r="AF96" s="91"/>
      <x:c r="AG96" s="91"/>
      <x:c r="AH96" s="91"/>
      <x:c r="AI96" s="91"/>
      <x:c r="AJ96" s="91"/>
      <x:c r="AK96" s="91"/>
      <x:c r="AL96" s="91"/>
      <x:c r="AM96" s="91"/>
      <x:c r="AN96" s="91"/>
      <x:c r="AO96" s="91"/>
      <x:c r="AP96" s="91"/>
      <x:c r="AQ96" s="91"/>
      <x:c r="AR96" s="91"/>
      <x:c r="AS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  <x:c r="AA97" s="91"/>
      <x:c r="AB97" s="91"/>
      <x:c r="AC97" s="91"/>
      <x:c r="AD97" s="91"/>
      <x:c r="AE97" s="91"/>
      <x:c r="AF97" s="91"/>
      <x:c r="AG97" s="91"/>
      <x:c r="AH97" s="91"/>
      <x:c r="AI97" s="91"/>
      <x:c r="AJ97" s="91"/>
      <x:c r="AK97" s="91"/>
      <x:c r="AL97" s="91"/>
      <x:c r="AM97" s="91"/>
      <x:c r="AN97" s="91"/>
      <x:c r="AO97" s="91"/>
      <x:c r="AP97" s="91"/>
      <x:c r="AQ97" s="91"/>
      <x:c r="AR97" s="91"/>
      <x:c r="AS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  <x:c r="AA98" s="91"/>
      <x:c r="AB98" s="91"/>
      <x:c r="AC98" s="91"/>
      <x:c r="AD98" s="91"/>
      <x:c r="AE98" s="91"/>
      <x:c r="AF98" s="91"/>
      <x:c r="AG98" s="91"/>
      <x:c r="AH98" s="91"/>
      <x:c r="AI98" s="91"/>
      <x:c r="AJ98" s="91"/>
      <x:c r="AK98" s="91"/>
      <x:c r="AL98" s="91"/>
      <x:c r="AM98" s="91"/>
      <x:c r="AN98" s="91"/>
      <x:c r="AO98" s="91"/>
      <x:c r="AP98" s="91"/>
      <x:c r="AQ98" s="91"/>
      <x:c r="AR98" s="91"/>
      <x:c r="AS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  <x:c r="AA99" s="91"/>
      <x:c r="AB99" s="91"/>
      <x:c r="AC99" s="91"/>
      <x:c r="AD99" s="91"/>
      <x:c r="AE99" s="91"/>
      <x:c r="AF99" s="91"/>
      <x:c r="AG99" s="91"/>
      <x:c r="AH99" s="91"/>
      <x:c r="AI99" s="91"/>
      <x:c r="AJ99" s="91"/>
      <x:c r="AK99" s="91"/>
      <x:c r="AL99" s="91"/>
      <x:c r="AM99" s="91"/>
      <x:c r="AN99" s="91"/>
      <x:c r="AO99" s="91"/>
      <x:c r="AP99" s="91"/>
      <x:c r="AQ99" s="91"/>
      <x:c r="AR99" s="91"/>
      <x:c r="AS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  <x:c r="AA100" s="91"/>
      <x:c r="AB100" s="91"/>
      <x:c r="AC100" s="91"/>
      <x:c r="AD100" s="91"/>
      <x:c r="AE100" s="91"/>
      <x:c r="AF100" s="91"/>
      <x:c r="AG100" s="91"/>
      <x:c r="AH100" s="91"/>
      <x:c r="AI100" s="91"/>
      <x:c r="AJ100" s="91"/>
      <x:c r="AK100" s="91"/>
      <x:c r="AL100" s="91"/>
      <x:c r="AM100" s="91"/>
      <x:c r="AN100" s="91"/>
      <x:c r="AO100" s="91"/>
      <x:c r="AP100" s="91"/>
      <x:c r="AQ100" s="91"/>
      <x:c r="AR100" s="91"/>
      <x:c r="AS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  <x:c r="AA101" s="91"/>
      <x:c r="AB101" s="91"/>
      <x:c r="AC101" s="91"/>
      <x:c r="AD101" s="91"/>
      <x:c r="AE101" s="91"/>
      <x:c r="AF101" s="91"/>
      <x:c r="AG101" s="91"/>
      <x:c r="AH101" s="91"/>
      <x:c r="AI101" s="91"/>
      <x:c r="AJ101" s="91"/>
      <x:c r="AK101" s="91"/>
      <x:c r="AL101" s="91"/>
      <x:c r="AM101" s="91"/>
      <x:c r="AN101" s="91"/>
      <x:c r="AO101" s="91"/>
      <x:c r="AP101" s="91"/>
      <x:c r="AQ101" s="91"/>
      <x:c r="AR101" s="91"/>
      <x:c r="AS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  <x:c r="AA102" s="91"/>
      <x:c r="AB102" s="91"/>
      <x:c r="AC102" s="91"/>
      <x:c r="AD102" s="91"/>
      <x:c r="AE102" s="91"/>
      <x:c r="AF102" s="91"/>
      <x:c r="AG102" s="91"/>
      <x:c r="AH102" s="91"/>
      <x:c r="AI102" s="91"/>
      <x:c r="AJ102" s="91"/>
      <x:c r="AK102" s="91"/>
      <x:c r="AL102" s="91"/>
      <x:c r="AM102" s="91"/>
      <x:c r="AN102" s="91"/>
      <x:c r="AO102" s="91"/>
      <x:c r="AP102" s="91"/>
      <x:c r="AQ102" s="91"/>
      <x:c r="AR102" s="91"/>
      <x:c r="AS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  <x:c r="AA103" s="91"/>
      <x:c r="AB103" s="91"/>
      <x:c r="AC103" s="91"/>
      <x:c r="AD103" s="91"/>
      <x:c r="AE103" s="91"/>
      <x:c r="AF103" s="91"/>
      <x:c r="AG103" s="91"/>
      <x:c r="AH103" s="91"/>
      <x:c r="AI103" s="91"/>
      <x:c r="AJ103" s="91"/>
      <x:c r="AK103" s="91"/>
      <x:c r="AL103" s="91"/>
      <x:c r="AM103" s="91"/>
      <x:c r="AN103" s="91"/>
      <x:c r="AO103" s="91"/>
      <x:c r="AP103" s="91"/>
      <x:c r="AQ103" s="91"/>
      <x:c r="AR103" s="91"/>
      <x:c r="AS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  <x:c r="AA104" s="91"/>
      <x:c r="AB104" s="91"/>
      <x:c r="AC104" s="91"/>
      <x:c r="AD104" s="91"/>
      <x:c r="AE104" s="91"/>
      <x:c r="AF104" s="91"/>
      <x:c r="AG104" s="91"/>
      <x:c r="AH104" s="91"/>
      <x:c r="AI104" s="91"/>
      <x:c r="AJ104" s="91"/>
      <x:c r="AK104" s="91"/>
      <x:c r="AL104" s="91"/>
      <x:c r="AM104" s="91"/>
      <x:c r="AN104" s="91"/>
      <x:c r="AO104" s="91"/>
      <x:c r="AP104" s="91"/>
      <x:c r="AQ104" s="91"/>
      <x:c r="AR104" s="91"/>
      <x:c r="AS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  <x:c r="AA105" s="91"/>
      <x:c r="AB105" s="91"/>
      <x:c r="AC105" s="91"/>
      <x:c r="AD105" s="91"/>
      <x:c r="AE105" s="91"/>
      <x:c r="AF105" s="91"/>
      <x:c r="AG105" s="91"/>
      <x:c r="AH105" s="91"/>
      <x:c r="AI105" s="91"/>
      <x:c r="AJ105" s="91"/>
      <x:c r="AK105" s="91"/>
      <x:c r="AL105" s="91"/>
      <x:c r="AM105" s="91"/>
      <x:c r="AN105" s="91"/>
      <x:c r="AO105" s="91"/>
      <x:c r="AP105" s="91"/>
      <x:c r="AQ105" s="91"/>
      <x:c r="AR105" s="91"/>
      <x:c r="AS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  <x:c r="AA106" s="91"/>
      <x:c r="AB106" s="91"/>
      <x:c r="AC106" s="91"/>
      <x:c r="AD106" s="91"/>
      <x:c r="AE106" s="91"/>
      <x:c r="AF106" s="91"/>
      <x:c r="AG106" s="91"/>
      <x:c r="AH106" s="91"/>
      <x:c r="AI106" s="91"/>
      <x:c r="AJ106" s="91"/>
      <x:c r="AK106" s="91"/>
      <x:c r="AL106" s="91"/>
      <x:c r="AM106" s="91"/>
      <x:c r="AN106" s="91"/>
      <x:c r="AO106" s="91"/>
      <x:c r="AP106" s="91"/>
      <x:c r="AQ106" s="91"/>
      <x:c r="AR106" s="91"/>
      <x:c r="AS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  <x:c r="AA107" s="91"/>
      <x:c r="AB107" s="91"/>
      <x:c r="AC107" s="91"/>
      <x:c r="AD107" s="91"/>
      <x:c r="AE107" s="91"/>
      <x:c r="AF107" s="91"/>
      <x:c r="AG107" s="91"/>
      <x:c r="AH107" s="91"/>
      <x:c r="AI107" s="91"/>
      <x:c r="AJ107" s="91"/>
      <x:c r="AK107" s="91"/>
      <x:c r="AL107" s="91"/>
      <x:c r="AM107" s="91"/>
      <x:c r="AN107" s="91"/>
      <x:c r="AO107" s="91"/>
      <x:c r="AP107" s="91"/>
      <x:c r="AQ107" s="91"/>
      <x:c r="AR107" s="91"/>
      <x:c r="AS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  <x:c r="AA108" s="91"/>
      <x:c r="AB108" s="91"/>
      <x:c r="AC108" s="91"/>
      <x:c r="AD108" s="91"/>
      <x:c r="AE108" s="91"/>
      <x:c r="AF108" s="91"/>
      <x:c r="AG108" s="91"/>
      <x:c r="AH108" s="91"/>
      <x:c r="AI108" s="91"/>
      <x:c r="AJ108" s="91"/>
      <x:c r="AK108" s="91"/>
      <x:c r="AL108" s="91"/>
      <x:c r="AM108" s="91"/>
      <x:c r="AN108" s="91"/>
      <x:c r="AO108" s="91"/>
      <x:c r="AP108" s="91"/>
      <x:c r="AQ108" s="91"/>
      <x:c r="AR108" s="91"/>
      <x:c r="AS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  <x:c r="AA109" s="91"/>
      <x:c r="AB109" s="91"/>
      <x:c r="AC109" s="91"/>
      <x:c r="AD109" s="91"/>
      <x:c r="AE109" s="91"/>
      <x:c r="AF109" s="91"/>
      <x:c r="AG109" s="91"/>
      <x:c r="AH109" s="91"/>
      <x:c r="AI109" s="91"/>
      <x:c r="AJ109" s="91"/>
      <x:c r="AK109" s="91"/>
      <x:c r="AL109" s="91"/>
      <x:c r="AM109" s="91"/>
      <x:c r="AN109" s="91"/>
      <x:c r="AO109" s="91"/>
      <x:c r="AP109" s="91"/>
      <x:c r="AQ109" s="91"/>
      <x:c r="AR109" s="91"/>
      <x:c r="AS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  <x:c r="AA110" s="91"/>
      <x:c r="AB110" s="91"/>
      <x:c r="AC110" s="91"/>
      <x:c r="AD110" s="91"/>
      <x:c r="AE110" s="91"/>
      <x:c r="AF110" s="91"/>
      <x:c r="AG110" s="91"/>
      <x:c r="AH110" s="91"/>
      <x:c r="AI110" s="91"/>
      <x:c r="AJ110" s="91"/>
      <x:c r="AK110" s="91"/>
      <x:c r="AL110" s="91"/>
      <x:c r="AM110" s="91"/>
      <x:c r="AN110" s="91"/>
      <x:c r="AO110" s="91"/>
      <x:c r="AP110" s="91"/>
      <x:c r="AQ110" s="91"/>
      <x:c r="AR110" s="91"/>
      <x:c r="AS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  <x:c r="AA111" s="91"/>
      <x:c r="AB111" s="91"/>
      <x:c r="AC111" s="91"/>
      <x:c r="AD111" s="91"/>
      <x:c r="AE111" s="91"/>
      <x:c r="AF111" s="91"/>
      <x:c r="AG111" s="91"/>
      <x:c r="AH111" s="91"/>
      <x:c r="AI111" s="91"/>
      <x:c r="AJ111" s="91"/>
      <x:c r="AK111" s="91"/>
      <x:c r="AL111" s="91"/>
      <x:c r="AM111" s="91"/>
      <x:c r="AN111" s="91"/>
      <x:c r="AO111" s="91"/>
      <x:c r="AP111" s="91"/>
      <x:c r="AQ111" s="91"/>
      <x:c r="AR111" s="91"/>
      <x:c r="AS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  <x:c r="AA112" s="91"/>
      <x:c r="AB112" s="91"/>
      <x:c r="AC112" s="91"/>
      <x:c r="AD112" s="91"/>
      <x:c r="AE112" s="91"/>
      <x:c r="AF112" s="91"/>
      <x:c r="AG112" s="91"/>
      <x:c r="AH112" s="91"/>
      <x:c r="AI112" s="91"/>
      <x:c r="AJ112" s="91"/>
      <x:c r="AK112" s="91"/>
      <x:c r="AL112" s="91"/>
      <x:c r="AM112" s="91"/>
      <x:c r="AN112" s="91"/>
      <x:c r="AO112" s="91"/>
      <x:c r="AP112" s="91"/>
      <x:c r="AQ112" s="91"/>
      <x:c r="AR112" s="91"/>
      <x:c r="AS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  <x:c r="AA113" s="91"/>
      <x:c r="AB113" s="91"/>
      <x:c r="AC113" s="91"/>
      <x:c r="AD113" s="91"/>
      <x:c r="AE113" s="91"/>
      <x:c r="AF113" s="91"/>
      <x:c r="AG113" s="91"/>
      <x:c r="AH113" s="91"/>
      <x:c r="AI113" s="91"/>
      <x:c r="AJ113" s="91"/>
      <x:c r="AK113" s="91"/>
      <x:c r="AL113" s="91"/>
      <x:c r="AM113" s="91"/>
      <x:c r="AN113" s="91"/>
      <x:c r="AO113" s="91"/>
      <x:c r="AP113" s="91"/>
      <x:c r="AQ113" s="91"/>
      <x:c r="AR113" s="91"/>
      <x:c r="AS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  <x:c r="AA114" s="91"/>
      <x:c r="AB114" s="91"/>
      <x:c r="AC114" s="91"/>
      <x:c r="AD114" s="91"/>
      <x:c r="AE114" s="91"/>
      <x:c r="AF114" s="91"/>
      <x:c r="AG114" s="91"/>
      <x:c r="AH114" s="91"/>
      <x:c r="AI114" s="91"/>
      <x:c r="AJ114" s="91"/>
      <x:c r="AK114" s="91"/>
      <x:c r="AL114" s="91"/>
      <x:c r="AM114" s="91"/>
      <x:c r="AN114" s="91"/>
      <x:c r="AO114" s="91"/>
      <x:c r="AP114" s="91"/>
      <x:c r="AQ114" s="91"/>
      <x:c r="AR114" s="91"/>
      <x:c r="AS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  <x:c r="AA115" s="91"/>
      <x:c r="AB115" s="91"/>
      <x:c r="AC115" s="91"/>
      <x:c r="AD115" s="91"/>
      <x:c r="AE115" s="91"/>
      <x:c r="AF115" s="91"/>
      <x:c r="AG115" s="91"/>
      <x:c r="AH115" s="91"/>
      <x:c r="AI115" s="91"/>
      <x:c r="AJ115" s="91"/>
      <x:c r="AK115" s="91"/>
      <x:c r="AL115" s="91"/>
      <x:c r="AM115" s="91"/>
      <x:c r="AN115" s="91"/>
      <x:c r="AO115" s="91"/>
      <x:c r="AP115" s="91"/>
      <x:c r="AQ115" s="91"/>
      <x:c r="AR115" s="91"/>
      <x:c r="AS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  <x:c r="AA116" s="91"/>
      <x:c r="AB116" s="91"/>
      <x:c r="AC116" s="91"/>
      <x:c r="AD116" s="91"/>
      <x:c r="AE116" s="91"/>
      <x:c r="AF116" s="91"/>
      <x:c r="AG116" s="91"/>
      <x:c r="AH116" s="91"/>
      <x:c r="AI116" s="91"/>
      <x:c r="AJ116" s="91"/>
      <x:c r="AK116" s="91"/>
      <x:c r="AL116" s="91"/>
      <x:c r="AM116" s="91"/>
      <x:c r="AN116" s="91"/>
      <x:c r="AO116" s="91"/>
      <x:c r="AP116" s="91"/>
      <x:c r="AQ116" s="91"/>
      <x:c r="AR116" s="91"/>
      <x:c r="AS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  <x:c r="AA117" s="91"/>
      <x:c r="AB117" s="91"/>
      <x:c r="AC117" s="91"/>
      <x:c r="AD117" s="91"/>
      <x:c r="AE117" s="91"/>
      <x:c r="AF117" s="91"/>
      <x:c r="AG117" s="91"/>
      <x:c r="AH117" s="91"/>
      <x:c r="AI117" s="91"/>
      <x:c r="AJ117" s="91"/>
      <x:c r="AK117" s="91"/>
      <x:c r="AL117" s="91"/>
      <x:c r="AM117" s="91"/>
      <x:c r="AN117" s="91"/>
      <x:c r="AO117" s="91"/>
      <x:c r="AP117" s="91"/>
      <x:c r="AQ117" s="91"/>
      <x:c r="AR117" s="91"/>
      <x:c r="AS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  <x:c r="AA118" s="91"/>
      <x:c r="AB118" s="91"/>
      <x:c r="AC118" s="91"/>
      <x:c r="AD118" s="91"/>
      <x:c r="AE118" s="91"/>
      <x:c r="AF118" s="91"/>
      <x:c r="AG118" s="91"/>
      <x:c r="AH118" s="91"/>
      <x:c r="AI118" s="91"/>
      <x:c r="AJ118" s="91"/>
      <x:c r="AK118" s="91"/>
      <x:c r="AL118" s="91"/>
      <x:c r="AM118" s="91"/>
      <x:c r="AN118" s="91"/>
      <x:c r="AO118" s="91"/>
      <x:c r="AP118" s="91"/>
      <x:c r="AQ118" s="91"/>
      <x:c r="AR118" s="91"/>
      <x:c r="AS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  <x:c r="AA119" s="91"/>
      <x:c r="AB119" s="91"/>
      <x:c r="AC119" s="91"/>
      <x:c r="AD119" s="91"/>
      <x:c r="AE119" s="91"/>
      <x:c r="AF119" s="91"/>
      <x:c r="AG119" s="91"/>
      <x:c r="AH119" s="91"/>
      <x:c r="AI119" s="91"/>
      <x:c r="AJ119" s="91"/>
      <x:c r="AK119" s="91"/>
      <x:c r="AL119" s="91"/>
      <x:c r="AM119" s="91"/>
      <x:c r="AN119" s="91"/>
      <x:c r="AO119" s="91"/>
      <x:c r="AP119" s="91"/>
      <x:c r="AQ119" s="91"/>
      <x:c r="AR119" s="91"/>
      <x:c r="AS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  <x:c r="AA120" s="91"/>
      <x:c r="AB120" s="91"/>
      <x:c r="AC120" s="91"/>
      <x:c r="AD120" s="91"/>
      <x:c r="AE120" s="91"/>
      <x:c r="AF120" s="91"/>
      <x:c r="AG120" s="91"/>
      <x:c r="AH120" s="91"/>
      <x:c r="AI120" s="91"/>
      <x:c r="AJ120" s="91"/>
      <x:c r="AK120" s="91"/>
      <x:c r="AL120" s="91"/>
      <x:c r="AM120" s="91"/>
      <x:c r="AN120" s="91"/>
      <x:c r="AO120" s="91"/>
      <x:c r="AP120" s="91"/>
      <x:c r="AQ120" s="91"/>
      <x:c r="AR120" s="91"/>
      <x:c r="AS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  <x:c r="AA121" s="91"/>
      <x:c r="AB121" s="91"/>
      <x:c r="AC121" s="91"/>
      <x:c r="AD121" s="91"/>
      <x:c r="AE121" s="91"/>
      <x:c r="AF121" s="91"/>
      <x:c r="AG121" s="91"/>
      <x:c r="AH121" s="91"/>
      <x:c r="AI121" s="91"/>
      <x:c r="AJ121" s="91"/>
      <x:c r="AK121" s="91"/>
      <x:c r="AL121" s="91"/>
      <x:c r="AM121" s="91"/>
      <x:c r="AN121" s="91"/>
      <x:c r="AO121" s="91"/>
      <x:c r="AP121" s="91"/>
      <x:c r="AQ121" s="91"/>
      <x:c r="AR121" s="91"/>
      <x:c r="AS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  <x:c r="AA122" s="91"/>
      <x:c r="AB122" s="91"/>
      <x:c r="AC122" s="91"/>
      <x:c r="AD122" s="91"/>
      <x:c r="AE122" s="91"/>
      <x:c r="AF122" s="91"/>
      <x:c r="AG122" s="91"/>
      <x:c r="AH122" s="91"/>
      <x:c r="AI122" s="91"/>
      <x:c r="AJ122" s="91"/>
      <x:c r="AK122" s="91"/>
      <x:c r="AL122" s="91"/>
      <x:c r="AM122" s="91"/>
      <x:c r="AN122" s="91"/>
      <x:c r="AO122" s="91"/>
      <x:c r="AP122" s="91"/>
      <x:c r="AQ122" s="91"/>
      <x:c r="AR122" s="91"/>
      <x:c r="AS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  <x:c r="AA123" s="91"/>
      <x:c r="AB123" s="91"/>
      <x:c r="AC123" s="91"/>
      <x:c r="AD123" s="91"/>
      <x:c r="AE123" s="91"/>
      <x:c r="AF123" s="91"/>
      <x:c r="AG123" s="91"/>
      <x:c r="AH123" s="91"/>
      <x:c r="AI123" s="91"/>
      <x:c r="AJ123" s="91"/>
      <x:c r="AK123" s="91"/>
      <x:c r="AL123" s="91"/>
      <x:c r="AM123" s="91"/>
      <x:c r="AN123" s="91"/>
      <x:c r="AO123" s="91"/>
      <x:c r="AP123" s="91"/>
      <x:c r="AQ123" s="91"/>
      <x:c r="AR123" s="91"/>
      <x:c r="AS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  <x:c r="AA124" s="91"/>
      <x:c r="AB124" s="91"/>
      <x:c r="AC124" s="91"/>
      <x:c r="AD124" s="91"/>
      <x:c r="AE124" s="91"/>
      <x:c r="AF124" s="91"/>
      <x:c r="AG124" s="91"/>
      <x:c r="AH124" s="91"/>
      <x:c r="AI124" s="91"/>
      <x:c r="AJ124" s="91"/>
      <x:c r="AK124" s="91"/>
      <x:c r="AL124" s="91"/>
      <x:c r="AM124" s="91"/>
      <x:c r="AN124" s="91"/>
      <x:c r="AO124" s="91"/>
      <x:c r="AP124" s="91"/>
      <x:c r="AQ124" s="91"/>
      <x:c r="AR124" s="91"/>
      <x:c r="AS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  <x:c r="AA125" s="91"/>
      <x:c r="AB125" s="91"/>
      <x:c r="AC125" s="91"/>
      <x:c r="AD125" s="91"/>
      <x:c r="AE125" s="91"/>
      <x:c r="AF125" s="91"/>
      <x:c r="AG125" s="91"/>
      <x:c r="AH125" s="91"/>
      <x:c r="AI125" s="91"/>
      <x:c r="AJ125" s="91"/>
      <x:c r="AK125" s="91"/>
      <x:c r="AL125" s="91"/>
      <x:c r="AM125" s="91"/>
      <x:c r="AN125" s="91"/>
      <x:c r="AO125" s="91"/>
      <x:c r="AP125" s="91"/>
      <x:c r="AQ125" s="91"/>
      <x:c r="AR125" s="91"/>
      <x:c r="AS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  <x:c r="AA126" s="91"/>
      <x:c r="AB126" s="91"/>
      <x:c r="AC126" s="91"/>
      <x:c r="AD126" s="91"/>
      <x:c r="AE126" s="91"/>
      <x:c r="AF126" s="91"/>
      <x:c r="AG126" s="91"/>
      <x:c r="AH126" s="91"/>
      <x:c r="AI126" s="91"/>
      <x:c r="AJ126" s="91"/>
      <x:c r="AK126" s="91"/>
      <x:c r="AL126" s="91"/>
      <x:c r="AM126" s="91"/>
      <x:c r="AN126" s="91"/>
      <x:c r="AO126" s="91"/>
      <x:c r="AP126" s="91"/>
      <x:c r="AQ126" s="91"/>
      <x:c r="AR126" s="91"/>
      <x:c r="AS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  <x:c r="AA127" s="91"/>
      <x:c r="AB127" s="91"/>
      <x:c r="AC127" s="91"/>
      <x:c r="AD127" s="91"/>
      <x:c r="AE127" s="91"/>
      <x:c r="AF127" s="91"/>
      <x:c r="AG127" s="91"/>
      <x:c r="AH127" s="91"/>
      <x:c r="AI127" s="91"/>
      <x:c r="AJ127" s="91"/>
      <x:c r="AK127" s="91"/>
      <x:c r="AL127" s="91"/>
      <x:c r="AM127" s="91"/>
      <x:c r="AN127" s="91"/>
      <x:c r="AO127" s="91"/>
      <x:c r="AP127" s="91"/>
      <x:c r="AQ127" s="91"/>
      <x:c r="AR127" s="91"/>
      <x:c r="AS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  <x:c r="AA128" s="91"/>
      <x:c r="AB128" s="91"/>
      <x:c r="AC128" s="91"/>
      <x:c r="AD128" s="91"/>
      <x:c r="AE128" s="91"/>
      <x:c r="AF128" s="91"/>
      <x:c r="AG128" s="91"/>
      <x:c r="AH128" s="91"/>
      <x:c r="AI128" s="91"/>
      <x:c r="AJ128" s="91"/>
      <x:c r="AK128" s="91"/>
      <x:c r="AL128" s="91"/>
      <x:c r="AM128" s="91"/>
      <x:c r="AN128" s="91"/>
      <x:c r="AO128" s="91"/>
      <x:c r="AP128" s="91"/>
      <x:c r="AQ128" s="91"/>
      <x:c r="AR128" s="91"/>
      <x:c r="AS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  <x:c r="AA129" s="91"/>
      <x:c r="AB129" s="91"/>
      <x:c r="AC129" s="91"/>
      <x:c r="AD129" s="91"/>
      <x:c r="AE129" s="91"/>
      <x:c r="AF129" s="91"/>
      <x:c r="AG129" s="91"/>
      <x:c r="AH129" s="91"/>
      <x:c r="AI129" s="91"/>
      <x:c r="AJ129" s="91"/>
      <x:c r="AK129" s="91"/>
      <x:c r="AL129" s="91"/>
      <x:c r="AM129" s="91"/>
      <x:c r="AN129" s="91"/>
      <x:c r="AO129" s="91"/>
      <x:c r="AP129" s="91"/>
      <x:c r="AQ129" s="91"/>
      <x:c r="AR129" s="91"/>
      <x:c r="AS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  <x:c r="AA130" s="91"/>
      <x:c r="AB130" s="91"/>
      <x:c r="AC130" s="91"/>
      <x:c r="AD130" s="91"/>
      <x:c r="AE130" s="91"/>
      <x:c r="AF130" s="91"/>
      <x:c r="AG130" s="91"/>
      <x:c r="AH130" s="91"/>
      <x:c r="AI130" s="91"/>
      <x:c r="AJ130" s="91"/>
      <x:c r="AK130" s="91"/>
      <x:c r="AL130" s="91"/>
      <x:c r="AM130" s="91"/>
      <x:c r="AN130" s="91"/>
      <x:c r="AO130" s="91"/>
      <x:c r="AP130" s="91"/>
      <x:c r="AQ130" s="91"/>
      <x:c r="AR130" s="91"/>
      <x:c r="AS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  <x:c r="AA131" s="91"/>
      <x:c r="AB131" s="91"/>
      <x:c r="AC131" s="91"/>
      <x:c r="AD131" s="91"/>
      <x:c r="AE131" s="91"/>
      <x:c r="AF131" s="91"/>
      <x:c r="AG131" s="91"/>
      <x:c r="AH131" s="91"/>
      <x:c r="AI131" s="91"/>
      <x:c r="AJ131" s="91"/>
      <x:c r="AK131" s="91"/>
      <x:c r="AL131" s="91"/>
      <x:c r="AM131" s="91"/>
      <x:c r="AN131" s="91"/>
      <x:c r="AO131" s="91"/>
      <x:c r="AP131" s="91"/>
      <x:c r="AQ131" s="91"/>
      <x:c r="AR131" s="91"/>
      <x:c r="AS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  <x:c r="AA132" s="91"/>
      <x:c r="AB132" s="91"/>
      <x:c r="AC132" s="91"/>
      <x:c r="AD132" s="91"/>
      <x:c r="AE132" s="91"/>
      <x:c r="AF132" s="91"/>
      <x:c r="AG132" s="91"/>
      <x:c r="AH132" s="91"/>
      <x:c r="AI132" s="91"/>
      <x:c r="AJ132" s="91"/>
      <x:c r="AK132" s="91"/>
      <x:c r="AL132" s="91"/>
      <x:c r="AM132" s="91"/>
      <x:c r="AN132" s="91"/>
      <x:c r="AO132" s="91"/>
      <x:c r="AP132" s="91"/>
      <x:c r="AQ132" s="91"/>
      <x:c r="AR132" s="91"/>
      <x:c r="AS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  <x:c r="AA133" s="91"/>
      <x:c r="AB133" s="91"/>
      <x:c r="AC133" s="91"/>
      <x:c r="AD133" s="91"/>
      <x:c r="AE133" s="91"/>
      <x:c r="AF133" s="91"/>
      <x:c r="AG133" s="91"/>
      <x:c r="AH133" s="91"/>
      <x:c r="AI133" s="91"/>
      <x:c r="AJ133" s="91"/>
      <x:c r="AK133" s="91"/>
      <x:c r="AL133" s="91"/>
      <x:c r="AM133" s="91"/>
      <x:c r="AN133" s="91"/>
      <x:c r="AO133" s="91"/>
      <x:c r="AP133" s="91"/>
      <x:c r="AQ133" s="91"/>
      <x:c r="AR133" s="91"/>
      <x:c r="AS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  <x:c r="AA134" s="91"/>
      <x:c r="AB134" s="91"/>
      <x:c r="AC134" s="91"/>
      <x:c r="AD134" s="91"/>
      <x:c r="AE134" s="91"/>
      <x:c r="AF134" s="91"/>
      <x:c r="AG134" s="91"/>
      <x:c r="AH134" s="91"/>
      <x:c r="AI134" s="91"/>
      <x:c r="AJ134" s="91"/>
      <x:c r="AK134" s="91"/>
      <x:c r="AL134" s="91"/>
      <x:c r="AM134" s="91"/>
      <x:c r="AN134" s="91"/>
      <x:c r="AO134" s="91"/>
      <x:c r="AP134" s="91"/>
      <x:c r="AQ134" s="91"/>
      <x:c r="AR134" s="91"/>
      <x:c r="AS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  <x:c r="AA135" s="91"/>
      <x:c r="AB135" s="91"/>
      <x:c r="AC135" s="91"/>
      <x:c r="AD135" s="91"/>
      <x:c r="AE135" s="91"/>
      <x:c r="AF135" s="91"/>
      <x:c r="AG135" s="91"/>
      <x:c r="AH135" s="91"/>
      <x:c r="AI135" s="91"/>
      <x:c r="AJ135" s="91"/>
      <x:c r="AK135" s="91"/>
      <x:c r="AL135" s="91"/>
      <x:c r="AM135" s="91"/>
      <x:c r="AN135" s="91"/>
      <x:c r="AO135" s="91"/>
      <x:c r="AP135" s="91"/>
      <x:c r="AQ135" s="91"/>
      <x:c r="AR135" s="91"/>
      <x:c r="AS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  <x:c r="AA136" s="91"/>
      <x:c r="AB136" s="91"/>
      <x:c r="AC136" s="91"/>
      <x:c r="AD136" s="91"/>
      <x:c r="AE136" s="91"/>
      <x:c r="AF136" s="91"/>
      <x:c r="AG136" s="91"/>
      <x:c r="AH136" s="91"/>
      <x:c r="AI136" s="91"/>
      <x:c r="AJ136" s="91"/>
      <x:c r="AK136" s="91"/>
      <x:c r="AL136" s="91"/>
      <x:c r="AM136" s="91"/>
      <x:c r="AN136" s="91"/>
      <x:c r="AO136" s="91"/>
      <x:c r="AP136" s="91"/>
      <x:c r="AQ136" s="91"/>
      <x:c r="AR136" s="91"/>
      <x:c r="AS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  <x:c r="AA137" s="91"/>
      <x:c r="AB137" s="91"/>
      <x:c r="AC137" s="91"/>
      <x:c r="AD137" s="91"/>
      <x:c r="AE137" s="91"/>
      <x:c r="AF137" s="91"/>
      <x:c r="AG137" s="91"/>
      <x:c r="AH137" s="91"/>
      <x:c r="AI137" s="91"/>
      <x:c r="AJ137" s="91"/>
      <x:c r="AK137" s="91"/>
      <x:c r="AL137" s="91"/>
      <x:c r="AM137" s="91"/>
      <x:c r="AN137" s="91"/>
      <x:c r="AO137" s="91"/>
      <x:c r="AP137" s="91"/>
      <x:c r="AQ137" s="91"/>
      <x:c r="AR137" s="91"/>
      <x:c r="AS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  <x:c r="AA138" s="91"/>
      <x:c r="AB138" s="91"/>
      <x:c r="AC138" s="91"/>
      <x:c r="AD138" s="91"/>
      <x:c r="AE138" s="91"/>
      <x:c r="AF138" s="91"/>
      <x:c r="AG138" s="91"/>
      <x:c r="AH138" s="91"/>
      <x:c r="AI138" s="91"/>
      <x:c r="AJ138" s="91"/>
      <x:c r="AK138" s="91"/>
      <x:c r="AL138" s="91"/>
      <x:c r="AM138" s="91"/>
      <x:c r="AN138" s="91"/>
      <x:c r="AO138" s="91"/>
      <x:c r="AP138" s="91"/>
      <x:c r="AQ138" s="91"/>
      <x:c r="AR138" s="91"/>
      <x:c r="AS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  <x:c r="AA139" s="91"/>
      <x:c r="AB139" s="91"/>
      <x:c r="AC139" s="91"/>
      <x:c r="AD139" s="91"/>
      <x:c r="AE139" s="91"/>
      <x:c r="AF139" s="91"/>
      <x:c r="AG139" s="91"/>
      <x:c r="AH139" s="91"/>
      <x:c r="AI139" s="91"/>
      <x:c r="AJ139" s="91"/>
      <x:c r="AK139" s="91"/>
      <x:c r="AL139" s="91"/>
      <x:c r="AM139" s="91"/>
      <x:c r="AN139" s="91"/>
      <x:c r="AO139" s="91"/>
      <x:c r="AP139" s="91"/>
      <x:c r="AQ139" s="91"/>
      <x:c r="AR139" s="91"/>
      <x:c r="AS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  <x:c r="AA140" s="91"/>
      <x:c r="AB140" s="91"/>
      <x:c r="AC140" s="91"/>
      <x:c r="AD140" s="91"/>
      <x:c r="AE140" s="91"/>
      <x:c r="AF140" s="91"/>
      <x:c r="AG140" s="91"/>
      <x:c r="AH140" s="91"/>
      <x:c r="AI140" s="91"/>
      <x:c r="AJ140" s="91"/>
      <x:c r="AK140" s="91"/>
      <x:c r="AL140" s="91"/>
      <x:c r="AM140" s="91"/>
      <x:c r="AN140" s="91"/>
      <x:c r="AO140" s="91"/>
      <x:c r="AP140" s="91"/>
      <x:c r="AQ140" s="91"/>
      <x:c r="AR140" s="91"/>
      <x:c r="AS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  <x:c r="AA141" s="91"/>
      <x:c r="AB141" s="91"/>
      <x:c r="AC141" s="91"/>
      <x:c r="AD141" s="91"/>
      <x:c r="AE141" s="91"/>
      <x:c r="AF141" s="91"/>
      <x:c r="AG141" s="91"/>
      <x:c r="AH141" s="91"/>
      <x:c r="AI141" s="91"/>
      <x:c r="AJ141" s="91"/>
      <x:c r="AK141" s="91"/>
      <x:c r="AL141" s="91"/>
      <x:c r="AM141" s="91"/>
      <x:c r="AN141" s="91"/>
      <x:c r="AO141" s="91"/>
      <x:c r="AP141" s="91"/>
      <x:c r="AQ141" s="91"/>
      <x:c r="AR141" s="91"/>
      <x:c r="AS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  <x:c r="AA142" s="91"/>
      <x:c r="AB142" s="91"/>
      <x:c r="AC142" s="91"/>
      <x:c r="AD142" s="91"/>
      <x:c r="AE142" s="91"/>
      <x:c r="AF142" s="91"/>
      <x:c r="AG142" s="91"/>
      <x:c r="AH142" s="91"/>
      <x:c r="AI142" s="91"/>
      <x:c r="AJ142" s="91"/>
      <x:c r="AK142" s="91"/>
      <x:c r="AL142" s="91"/>
      <x:c r="AM142" s="91"/>
      <x:c r="AN142" s="91"/>
      <x:c r="AO142" s="91"/>
      <x:c r="AP142" s="91"/>
      <x:c r="AQ142" s="91"/>
      <x:c r="AR142" s="91"/>
      <x:c r="AS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  <x:c r="AA143" s="91"/>
      <x:c r="AB143" s="91"/>
      <x:c r="AC143" s="91"/>
      <x:c r="AD143" s="91"/>
      <x:c r="AE143" s="91"/>
      <x:c r="AF143" s="91"/>
      <x:c r="AG143" s="91"/>
      <x:c r="AH143" s="91"/>
      <x:c r="AI143" s="91"/>
      <x:c r="AJ143" s="91"/>
      <x:c r="AK143" s="91"/>
      <x:c r="AL143" s="91"/>
      <x:c r="AM143" s="91"/>
      <x:c r="AN143" s="91"/>
      <x:c r="AO143" s="91"/>
      <x:c r="AP143" s="91"/>
      <x:c r="AQ143" s="91"/>
      <x:c r="AR143" s="91"/>
      <x:c r="AS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  <x:c r="AA144" s="91"/>
      <x:c r="AB144" s="91"/>
      <x:c r="AC144" s="91"/>
      <x:c r="AD144" s="91"/>
      <x:c r="AE144" s="91"/>
      <x:c r="AF144" s="91"/>
      <x:c r="AG144" s="91"/>
      <x:c r="AH144" s="91"/>
      <x:c r="AI144" s="91"/>
      <x:c r="AJ144" s="91"/>
      <x:c r="AK144" s="91"/>
      <x:c r="AL144" s="91"/>
      <x:c r="AM144" s="91"/>
      <x:c r="AN144" s="91"/>
      <x:c r="AO144" s="91"/>
      <x:c r="AP144" s="91"/>
      <x:c r="AQ144" s="91"/>
      <x:c r="AR144" s="91"/>
      <x:c r="AS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  <x:c r="AA145" s="91"/>
      <x:c r="AB145" s="91"/>
      <x:c r="AC145" s="91"/>
      <x:c r="AD145" s="91"/>
      <x:c r="AE145" s="91"/>
      <x:c r="AF145" s="91"/>
      <x:c r="AG145" s="91"/>
      <x:c r="AH145" s="91"/>
      <x:c r="AI145" s="91"/>
      <x:c r="AJ145" s="91"/>
      <x:c r="AK145" s="91"/>
      <x:c r="AL145" s="91"/>
      <x:c r="AM145" s="91"/>
      <x:c r="AN145" s="91"/>
      <x:c r="AO145" s="91"/>
      <x:c r="AP145" s="91"/>
      <x:c r="AQ145" s="91"/>
      <x:c r="AR145" s="91"/>
      <x:c r="AS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  <x:c r="AA146" s="91"/>
      <x:c r="AB146" s="91"/>
      <x:c r="AC146" s="91"/>
      <x:c r="AD146" s="91"/>
      <x:c r="AE146" s="91"/>
      <x:c r="AF146" s="91"/>
      <x:c r="AG146" s="91"/>
      <x:c r="AH146" s="91"/>
      <x:c r="AI146" s="91"/>
      <x:c r="AJ146" s="91"/>
      <x:c r="AK146" s="91"/>
      <x:c r="AL146" s="91"/>
      <x:c r="AM146" s="91"/>
      <x:c r="AN146" s="91"/>
      <x:c r="AO146" s="91"/>
      <x:c r="AP146" s="91"/>
      <x:c r="AQ146" s="91"/>
      <x:c r="AR146" s="91"/>
      <x:c r="AS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  <x:c r="AA147" s="91"/>
      <x:c r="AB147" s="91"/>
      <x:c r="AC147" s="91"/>
      <x:c r="AD147" s="91"/>
      <x:c r="AE147" s="91"/>
      <x:c r="AF147" s="91"/>
      <x:c r="AG147" s="91"/>
      <x:c r="AH147" s="91"/>
      <x:c r="AI147" s="91"/>
      <x:c r="AJ147" s="91"/>
      <x:c r="AK147" s="91"/>
      <x:c r="AL147" s="91"/>
      <x:c r="AM147" s="91"/>
      <x:c r="AN147" s="91"/>
      <x:c r="AO147" s="91"/>
      <x:c r="AP147" s="91"/>
      <x:c r="AQ147" s="91"/>
      <x:c r="AR147" s="91"/>
      <x:c r="AS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  <x:c r="AA148" s="91"/>
      <x:c r="AB148" s="91"/>
      <x:c r="AC148" s="91"/>
      <x:c r="AD148" s="91"/>
      <x:c r="AE148" s="91"/>
      <x:c r="AF148" s="91"/>
      <x:c r="AG148" s="91"/>
      <x:c r="AH148" s="91"/>
      <x:c r="AI148" s="91"/>
      <x:c r="AJ148" s="91"/>
      <x:c r="AK148" s="91"/>
      <x:c r="AL148" s="91"/>
      <x:c r="AM148" s="91"/>
      <x:c r="AN148" s="91"/>
      <x:c r="AO148" s="91"/>
      <x:c r="AP148" s="91"/>
      <x:c r="AQ148" s="91"/>
      <x:c r="AR148" s="91"/>
      <x:c r="AS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  <x:c r="AA149" s="91"/>
      <x:c r="AB149" s="91"/>
      <x:c r="AC149" s="91"/>
      <x:c r="AD149" s="91"/>
      <x:c r="AE149" s="91"/>
      <x:c r="AF149" s="91"/>
      <x:c r="AG149" s="91"/>
      <x:c r="AH149" s="91"/>
      <x:c r="AI149" s="91"/>
      <x:c r="AJ149" s="91"/>
      <x:c r="AK149" s="91"/>
      <x:c r="AL149" s="91"/>
      <x:c r="AM149" s="91"/>
      <x:c r="AN149" s="91"/>
      <x:c r="AO149" s="91"/>
      <x:c r="AP149" s="91"/>
      <x:c r="AQ149" s="91"/>
      <x:c r="AR149" s="91"/>
      <x:c r="AS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  <x:c r="AA150" s="91"/>
      <x:c r="AB150" s="91"/>
      <x:c r="AC150" s="91"/>
      <x:c r="AD150" s="91"/>
      <x:c r="AE150" s="91"/>
      <x:c r="AF150" s="91"/>
      <x:c r="AG150" s="91"/>
      <x:c r="AH150" s="91"/>
      <x:c r="AI150" s="91"/>
      <x:c r="AJ150" s="91"/>
      <x:c r="AK150" s="91"/>
      <x:c r="AL150" s="91"/>
      <x:c r="AM150" s="91"/>
      <x:c r="AN150" s="91"/>
      <x:c r="AO150" s="91"/>
      <x:c r="AP150" s="91"/>
      <x:c r="AQ150" s="91"/>
      <x:c r="AR150" s="91"/>
      <x:c r="AS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  <x:c r="AA151" s="91"/>
      <x:c r="AB151" s="91"/>
      <x:c r="AC151" s="91"/>
      <x:c r="AD151" s="91"/>
      <x:c r="AE151" s="91"/>
      <x:c r="AF151" s="91"/>
      <x:c r="AG151" s="91"/>
      <x:c r="AH151" s="91"/>
      <x:c r="AI151" s="91"/>
      <x:c r="AJ151" s="91"/>
      <x:c r="AK151" s="91"/>
      <x:c r="AL151" s="91"/>
      <x:c r="AM151" s="91"/>
      <x:c r="AN151" s="91"/>
      <x:c r="AO151" s="91"/>
      <x:c r="AP151" s="91"/>
      <x:c r="AQ151" s="91"/>
      <x:c r="AR151" s="91"/>
      <x:c r="AS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  <x:c r="AA152" s="91"/>
      <x:c r="AB152" s="91"/>
      <x:c r="AC152" s="91"/>
      <x:c r="AD152" s="91"/>
      <x:c r="AE152" s="91"/>
      <x:c r="AF152" s="91"/>
      <x:c r="AG152" s="91"/>
      <x:c r="AH152" s="91"/>
      <x:c r="AI152" s="91"/>
      <x:c r="AJ152" s="91"/>
      <x:c r="AK152" s="91"/>
      <x:c r="AL152" s="91"/>
      <x:c r="AM152" s="91"/>
      <x:c r="AN152" s="91"/>
      <x:c r="AO152" s="91"/>
      <x:c r="AP152" s="91"/>
      <x:c r="AQ152" s="91"/>
      <x:c r="AR152" s="91"/>
      <x:c r="AS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  <x:c r="AA153" s="91"/>
      <x:c r="AB153" s="91"/>
      <x:c r="AC153" s="91"/>
      <x:c r="AD153" s="91"/>
      <x:c r="AE153" s="91"/>
      <x:c r="AF153" s="91"/>
      <x:c r="AG153" s="91"/>
      <x:c r="AH153" s="91"/>
      <x:c r="AI153" s="91"/>
      <x:c r="AJ153" s="91"/>
      <x:c r="AK153" s="91"/>
      <x:c r="AL153" s="91"/>
      <x:c r="AM153" s="91"/>
      <x:c r="AN153" s="91"/>
      <x:c r="AO153" s="91"/>
      <x:c r="AP153" s="91"/>
      <x:c r="AQ153" s="91"/>
      <x:c r="AR153" s="91"/>
      <x:c r="AS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  <x:c r="AA154" s="91"/>
      <x:c r="AB154" s="91"/>
      <x:c r="AC154" s="91"/>
      <x:c r="AD154" s="91"/>
      <x:c r="AE154" s="91"/>
      <x:c r="AF154" s="91"/>
      <x:c r="AG154" s="91"/>
      <x:c r="AH154" s="91"/>
      <x:c r="AI154" s="91"/>
      <x:c r="AJ154" s="91"/>
      <x:c r="AK154" s="91"/>
      <x:c r="AL154" s="91"/>
      <x:c r="AM154" s="91"/>
      <x:c r="AN154" s="91"/>
      <x:c r="AO154" s="91"/>
      <x:c r="AP154" s="91"/>
      <x:c r="AQ154" s="91"/>
      <x:c r="AR154" s="91"/>
      <x:c r="AS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  <x:c r="AA155" s="91"/>
      <x:c r="AB155" s="91"/>
      <x:c r="AC155" s="91"/>
      <x:c r="AD155" s="91"/>
      <x:c r="AE155" s="91"/>
      <x:c r="AF155" s="91"/>
      <x:c r="AG155" s="91"/>
      <x:c r="AH155" s="91"/>
      <x:c r="AI155" s="91"/>
      <x:c r="AJ155" s="91"/>
      <x:c r="AK155" s="91"/>
      <x:c r="AL155" s="91"/>
      <x:c r="AM155" s="91"/>
      <x:c r="AN155" s="91"/>
      <x:c r="AO155" s="91"/>
      <x:c r="AP155" s="91"/>
      <x:c r="AQ155" s="91"/>
      <x:c r="AR155" s="91"/>
      <x:c r="AS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  <x:c r="AA156" s="91"/>
      <x:c r="AB156" s="91"/>
      <x:c r="AC156" s="91"/>
      <x:c r="AD156" s="91"/>
      <x:c r="AE156" s="91"/>
      <x:c r="AF156" s="91"/>
      <x:c r="AG156" s="91"/>
      <x:c r="AH156" s="91"/>
      <x:c r="AI156" s="91"/>
      <x:c r="AJ156" s="91"/>
      <x:c r="AK156" s="91"/>
      <x:c r="AL156" s="91"/>
      <x:c r="AM156" s="91"/>
      <x:c r="AN156" s="91"/>
      <x:c r="AO156" s="91"/>
      <x:c r="AP156" s="91"/>
      <x:c r="AQ156" s="91"/>
      <x:c r="AR156" s="91"/>
      <x:c r="AS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  <x:c r="AA157" s="91"/>
      <x:c r="AB157" s="91"/>
      <x:c r="AC157" s="91"/>
      <x:c r="AD157" s="91"/>
      <x:c r="AE157" s="91"/>
      <x:c r="AF157" s="91"/>
      <x:c r="AG157" s="91"/>
      <x:c r="AH157" s="91"/>
      <x:c r="AI157" s="91"/>
      <x:c r="AJ157" s="91"/>
      <x:c r="AK157" s="91"/>
      <x:c r="AL157" s="91"/>
      <x:c r="AM157" s="91"/>
      <x:c r="AN157" s="91"/>
      <x:c r="AO157" s="91"/>
      <x:c r="AP157" s="91"/>
      <x:c r="AQ157" s="91"/>
      <x:c r="AR157" s="91"/>
      <x:c r="AS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  <x:c r="AA158" s="91"/>
      <x:c r="AB158" s="91"/>
      <x:c r="AC158" s="91"/>
      <x:c r="AD158" s="91"/>
      <x:c r="AE158" s="91"/>
      <x:c r="AF158" s="91"/>
      <x:c r="AG158" s="91"/>
      <x:c r="AH158" s="91"/>
      <x:c r="AI158" s="91"/>
      <x:c r="AJ158" s="91"/>
      <x:c r="AK158" s="91"/>
      <x:c r="AL158" s="91"/>
      <x:c r="AM158" s="91"/>
      <x:c r="AN158" s="91"/>
      <x:c r="AO158" s="91"/>
      <x:c r="AP158" s="91"/>
      <x:c r="AQ158" s="91"/>
      <x:c r="AR158" s="91"/>
      <x:c r="AS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  <x:c r="AA159" s="91"/>
      <x:c r="AB159" s="91"/>
      <x:c r="AC159" s="91"/>
      <x:c r="AD159" s="91"/>
      <x:c r="AE159" s="91"/>
      <x:c r="AF159" s="91"/>
      <x:c r="AG159" s="91"/>
      <x:c r="AH159" s="91"/>
      <x:c r="AI159" s="91"/>
      <x:c r="AJ159" s="91"/>
      <x:c r="AK159" s="91"/>
      <x:c r="AL159" s="91"/>
      <x:c r="AM159" s="91"/>
      <x:c r="AN159" s="91"/>
      <x:c r="AO159" s="91"/>
      <x:c r="AP159" s="91"/>
      <x:c r="AQ159" s="91"/>
      <x:c r="AR159" s="91"/>
      <x:c r="AS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  <x:c r="AA160" s="91"/>
      <x:c r="AB160" s="91"/>
      <x:c r="AC160" s="91"/>
      <x:c r="AD160" s="91"/>
      <x:c r="AE160" s="91"/>
      <x:c r="AF160" s="91"/>
      <x:c r="AG160" s="91"/>
      <x:c r="AH160" s="91"/>
      <x:c r="AI160" s="91"/>
      <x:c r="AJ160" s="91"/>
      <x:c r="AK160" s="91"/>
      <x:c r="AL160" s="91"/>
      <x:c r="AM160" s="91"/>
      <x:c r="AN160" s="91"/>
      <x:c r="AO160" s="91"/>
      <x:c r="AP160" s="91"/>
      <x:c r="AQ160" s="91"/>
      <x:c r="AR160" s="91"/>
      <x:c r="AS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  <x:c r="AA161" s="91"/>
      <x:c r="AB161" s="91"/>
      <x:c r="AC161" s="91"/>
      <x:c r="AD161" s="91"/>
      <x:c r="AE161" s="91"/>
      <x:c r="AF161" s="91"/>
      <x:c r="AG161" s="91"/>
      <x:c r="AH161" s="91"/>
      <x:c r="AI161" s="91"/>
      <x:c r="AJ161" s="91"/>
      <x:c r="AK161" s="91"/>
      <x:c r="AL161" s="91"/>
      <x:c r="AM161" s="91"/>
      <x:c r="AN161" s="91"/>
      <x:c r="AO161" s="91"/>
      <x:c r="AP161" s="91"/>
      <x:c r="AQ161" s="91"/>
      <x:c r="AR161" s="91"/>
      <x:c r="AS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  <x:c r="AA162" s="91"/>
      <x:c r="AB162" s="91"/>
      <x:c r="AC162" s="91"/>
      <x:c r="AD162" s="91"/>
      <x:c r="AE162" s="91"/>
      <x:c r="AF162" s="91"/>
      <x:c r="AG162" s="91"/>
      <x:c r="AH162" s="91"/>
      <x:c r="AI162" s="91"/>
      <x:c r="AJ162" s="91"/>
      <x:c r="AK162" s="91"/>
      <x:c r="AL162" s="91"/>
      <x:c r="AM162" s="91"/>
      <x:c r="AN162" s="91"/>
      <x:c r="AO162" s="91"/>
      <x:c r="AP162" s="91"/>
      <x:c r="AQ162" s="91"/>
      <x:c r="AR162" s="91"/>
      <x:c r="AS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  <x:c r="AA163" s="91"/>
      <x:c r="AB163" s="91"/>
      <x:c r="AC163" s="91"/>
      <x:c r="AD163" s="91"/>
      <x:c r="AE163" s="91"/>
      <x:c r="AF163" s="91"/>
      <x:c r="AG163" s="91"/>
      <x:c r="AH163" s="91"/>
      <x:c r="AI163" s="91"/>
      <x:c r="AJ163" s="91"/>
      <x:c r="AK163" s="91"/>
      <x:c r="AL163" s="91"/>
      <x:c r="AM163" s="91"/>
      <x:c r="AN163" s="91"/>
      <x:c r="AO163" s="91"/>
      <x:c r="AP163" s="91"/>
      <x:c r="AQ163" s="91"/>
      <x:c r="AR163" s="91"/>
      <x:c r="AS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  <x:c r="AA164" s="91"/>
      <x:c r="AB164" s="91"/>
      <x:c r="AC164" s="91"/>
      <x:c r="AD164" s="91"/>
      <x:c r="AE164" s="91"/>
      <x:c r="AF164" s="91"/>
      <x:c r="AG164" s="91"/>
      <x:c r="AH164" s="91"/>
      <x:c r="AI164" s="91"/>
      <x:c r="AJ164" s="91"/>
      <x:c r="AK164" s="91"/>
      <x:c r="AL164" s="91"/>
      <x:c r="AM164" s="91"/>
      <x:c r="AN164" s="91"/>
      <x:c r="AO164" s="91"/>
      <x:c r="AP164" s="91"/>
      <x:c r="AQ164" s="91"/>
      <x:c r="AR164" s="91"/>
      <x:c r="AS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  <x:c r="AA165" s="91"/>
      <x:c r="AB165" s="91"/>
      <x:c r="AC165" s="91"/>
      <x:c r="AD165" s="91"/>
      <x:c r="AE165" s="91"/>
      <x:c r="AF165" s="91"/>
      <x:c r="AG165" s="91"/>
      <x:c r="AH165" s="91"/>
      <x:c r="AI165" s="91"/>
      <x:c r="AJ165" s="91"/>
      <x:c r="AK165" s="91"/>
      <x:c r="AL165" s="91"/>
      <x:c r="AM165" s="91"/>
      <x:c r="AN165" s="91"/>
      <x:c r="AO165" s="91"/>
      <x:c r="AP165" s="91"/>
      <x:c r="AQ165" s="91"/>
      <x:c r="AR165" s="91"/>
      <x:c r="AS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  <x:c r="AA166" s="91"/>
      <x:c r="AB166" s="91"/>
      <x:c r="AC166" s="91"/>
      <x:c r="AD166" s="91"/>
      <x:c r="AE166" s="91"/>
      <x:c r="AF166" s="91"/>
      <x:c r="AG166" s="91"/>
      <x:c r="AH166" s="91"/>
      <x:c r="AI166" s="91"/>
      <x:c r="AJ166" s="91"/>
      <x:c r="AK166" s="91"/>
      <x:c r="AL166" s="91"/>
      <x:c r="AM166" s="91"/>
      <x:c r="AN166" s="91"/>
      <x:c r="AO166" s="91"/>
      <x:c r="AP166" s="91"/>
      <x:c r="AQ166" s="91"/>
      <x:c r="AR166" s="91"/>
      <x:c r="AS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  <x:c r="AA167" s="91"/>
      <x:c r="AB167" s="91"/>
      <x:c r="AC167" s="91"/>
      <x:c r="AD167" s="91"/>
      <x:c r="AE167" s="91"/>
      <x:c r="AF167" s="91"/>
      <x:c r="AG167" s="91"/>
      <x:c r="AH167" s="91"/>
      <x:c r="AI167" s="91"/>
      <x:c r="AJ167" s="91"/>
      <x:c r="AK167" s="91"/>
      <x:c r="AL167" s="91"/>
      <x:c r="AM167" s="91"/>
      <x:c r="AN167" s="91"/>
      <x:c r="AO167" s="91"/>
      <x:c r="AP167" s="91"/>
      <x:c r="AQ167" s="91"/>
      <x:c r="AR167" s="91"/>
      <x:c r="AS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  <x:c r="AA168" s="91"/>
      <x:c r="AB168" s="91"/>
      <x:c r="AC168" s="91"/>
      <x:c r="AD168" s="91"/>
      <x:c r="AE168" s="91"/>
      <x:c r="AF168" s="91"/>
      <x:c r="AG168" s="91"/>
      <x:c r="AH168" s="91"/>
      <x:c r="AI168" s="91"/>
      <x:c r="AJ168" s="91"/>
      <x:c r="AK168" s="91"/>
      <x:c r="AL168" s="91"/>
      <x:c r="AM168" s="91"/>
      <x:c r="AN168" s="91"/>
      <x:c r="AO168" s="91"/>
      <x:c r="AP168" s="91"/>
      <x:c r="AQ168" s="91"/>
      <x:c r="AR168" s="91"/>
      <x:c r="AS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  <x:c r="AA169" s="91"/>
      <x:c r="AB169" s="91"/>
      <x:c r="AC169" s="91"/>
      <x:c r="AD169" s="91"/>
      <x:c r="AE169" s="91"/>
      <x:c r="AF169" s="91"/>
      <x:c r="AG169" s="91"/>
      <x:c r="AH169" s="91"/>
      <x:c r="AI169" s="91"/>
      <x:c r="AJ169" s="91"/>
      <x:c r="AK169" s="91"/>
      <x:c r="AL169" s="91"/>
      <x:c r="AM169" s="91"/>
      <x:c r="AN169" s="91"/>
      <x:c r="AO169" s="91"/>
      <x:c r="AP169" s="91"/>
      <x:c r="AQ169" s="91"/>
      <x:c r="AR169" s="91"/>
      <x:c r="AS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  <x:c r="AA170" s="91"/>
      <x:c r="AB170" s="91"/>
      <x:c r="AC170" s="91"/>
      <x:c r="AD170" s="91"/>
      <x:c r="AE170" s="91"/>
      <x:c r="AF170" s="91"/>
      <x:c r="AG170" s="91"/>
      <x:c r="AH170" s="91"/>
      <x:c r="AI170" s="91"/>
      <x:c r="AJ170" s="91"/>
      <x:c r="AK170" s="91"/>
      <x:c r="AL170" s="91"/>
      <x:c r="AM170" s="91"/>
      <x:c r="AN170" s="91"/>
      <x:c r="AO170" s="91"/>
      <x:c r="AP170" s="91"/>
      <x:c r="AQ170" s="91"/>
      <x:c r="AR170" s="91"/>
      <x:c r="AS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  <x:c r="AA171" s="91"/>
      <x:c r="AB171" s="91"/>
      <x:c r="AC171" s="91"/>
      <x:c r="AD171" s="91"/>
      <x:c r="AE171" s="91"/>
      <x:c r="AF171" s="91"/>
      <x:c r="AG171" s="91"/>
      <x:c r="AH171" s="91"/>
      <x:c r="AI171" s="91"/>
      <x:c r="AJ171" s="91"/>
      <x:c r="AK171" s="91"/>
      <x:c r="AL171" s="91"/>
      <x:c r="AM171" s="91"/>
      <x:c r="AN171" s="91"/>
      <x:c r="AO171" s="91"/>
      <x:c r="AP171" s="91"/>
      <x:c r="AQ171" s="91"/>
      <x:c r="AR171" s="91"/>
      <x:c r="AS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  <x:c r="AA172" s="91"/>
      <x:c r="AB172" s="91"/>
      <x:c r="AC172" s="91"/>
      <x:c r="AD172" s="91"/>
      <x:c r="AE172" s="91"/>
      <x:c r="AF172" s="91"/>
      <x:c r="AG172" s="91"/>
      <x:c r="AH172" s="91"/>
      <x:c r="AI172" s="91"/>
      <x:c r="AJ172" s="91"/>
      <x:c r="AK172" s="91"/>
      <x:c r="AL172" s="91"/>
      <x:c r="AM172" s="91"/>
      <x:c r="AN172" s="91"/>
      <x:c r="AO172" s="91"/>
      <x:c r="AP172" s="91"/>
      <x:c r="AQ172" s="91"/>
      <x:c r="AR172" s="91"/>
      <x:c r="AS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  <x:c r="AA173" s="91"/>
      <x:c r="AB173" s="91"/>
      <x:c r="AC173" s="91"/>
      <x:c r="AD173" s="91"/>
      <x:c r="AE173" s="91"/>
      <x:c r="AF173" s="91"/>
      <x:c r="AG173" s="91"/>
      <x:c r="AH173" s="91"/>
      <x:c r="AI173" s="91"/>
      <x:c r="AJ173" s="91"/>
      <x:c r="AK173" s="91"/>
      <x:c r="AL173" s="91"/>
      <x:c r="AM173" s="91"/>
      <x:c r="AN173" s="91"/>
      <x:c r="AO173" s="91"/>
      <x:c r="AP173" s="91"/>
      <x:c r="AQ173" s="91"/>
      <x:c r="AR173" s="91"/>
      <x:c r="AS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  <x:c r="AA174" s="91"/>
      <x:c r="AB174" s="91"/>
      <x:c r="AC174" s="91"/>
      <x:c r="AD174" s="91"/>
      <x:c r="AE174" s="91"/>
      <x:c r="AF174" s="91"/>
      <x:c r="AG174" s="91"/>
      <x:c r="AH174" s="91"/>
      <x:c r="AI174" s="91"/>
      <x:c r="AJ174" s="91"/>
      <x:c r="AK174" s="91"/>
      <x:c r="AL174" s="91"/>
      <x:c r="AM174" s="91"/>
      <x:c r="AN174" s="91"/>
      <x:c r="AO174" s="91"/>
      <x:c r="AP174" s="91"/>
      <x:c r="AQ174" s="91"/>
      <x:c r="AR174" s="91"/>
      <x:c r="AS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  <x:c r="AA175" s="91"/>
      <x:c r="AB175" s="91"/>
      <x:c r="AC175" s="91"/>
      <x:c r="AD175" s="91"/>
      <x:c r="AE175" s="91"/>
      <x:c r="AF175" s="91"/>
      <x:c r="AG175" s="91"/>
      <x:c r="AH175" s="91"/>
      <x:c r="AI175" s="91"/>
      <x:c r="AJ175" s="91"/>
      <x:c r="AK175" s="91"/>
      <x:c r="AL175" s="91"/>
      <x:c r="AM175" s="91"/>
      <x:c r="AN175" s="91"/>
      <x:c r="AO175" s="91"/>
      <x:c r="AP175" s="91"/>
      <x:c r="AQ175" s="91"/>
      <x:c r="AR175" s="91"/>
      <x:c r="AS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  <x:c r="AA176" s="91"/>
      <x:c r="AB176" s="91"/>
      <x:c r="AC176" s="91"/>
      <x:c r="AD176" s="91"/>
      <x:c r="AE176" s="91"/>
      <x:c r="AF176" s="91"/>
      <x:c r="AG176" s="91"/>
      <x:c r="AH176" s="91"/>
      <x:c r="AI176" s="91"/>
      <x:c r="AJ176" s="91"/>
      <x:c r="AK176" s="91"/>
      <x:c r="AL176" s="91"/>
      <x:c r="AM176" s="91"/>
      <x:c r="AN176" s="91"/>
      <x:c r="AO176" s="91"/>
      <x:c r="AP176" s="91"/>
      <x:c r="AQ176" s="91"/>
      <x:c r="AR176" s="91"/>
      <x:c r="AS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  <x:c r="AA177" s="91"/>
      <x:c r="AB177" s="91"/>
      <x:c r="AC177" s="91"/>
      <x:c r="AD177" s="91"/>
      <x:c r="AE177" s="91"/>
      <x:c r="AF177" s="91"/>
      <x:c r="AG177" s="91"/>
      <x:c r="AH177" s="91"/>
      <x:c r="AI177" s="91"/>
      <x:c r="AJ177" s="91"/>
      <x:c r="AK177" s="91"/>
      <x:c r="AL177" s="91"/>
      <x:c r="AM177" s="91"/>
      <x:c r="AN177" s="91"/>
      <x:c r="AO177" s="91"/>
      <x:c r="AP177" s="91"/>
      <x:c r="AQ177" s="91"/>
      <x:c r="AR177" s="91"/>
      <x:c r="AS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  <x:c r="AA178" s="91"/>
      <x:c r="AB178" s="91"/>
      <x:c r="AC178" s="91"/>
      <x:c r="AD178" s="91"/>
      <x:c r="AE178" s="91"/>
      <x:c r="AF178" s="91"/>
      <x:c r="AG178" s="91"/>
      <x:c r="AH178" s="91"/>
      <x:c r="AI178" s="91"/>
      <x:c r="AJ178" s="91"/>
      <x:c r="AK178" s="91"/>
      <x:c r="AL178" s="91"/>
      <x:c r="AM178" s="91"/>
      <x:c r="AN178" s="91"/>
      <x:c r="AO178" s="91"/>
      <x:c r="AP178" s="91"/>
      <x:c r="AQ178" s="91"/>
      <x:c r="AR178" s="91"/>
      <x:c r="AS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  <x:c r="AA179" s="91"/>
      <x:c r="AB179" s="91"/>
      <x:c r="AC179" s="91"/>
      <x:c r="AD179" s="91"/>
      <x:c r="AE179" s="91"/>
      <x:c r="AF179" s="91"/>
      <x:c r="AG179" s="91"/>
      <x:c r="AH179" s="91"/>
      <x:c r="AI179" s="91"/>
      <x:c r="AJ179" s="91"/>
      <x:c r="AK179" s="91"/>
      <x:c r="AL179" s="91"/>
      <x:c r="AM179" s="91"/>
      <x:c r="AN179" s="91"/>
      <x:c r="AO179" s="91"/>
      <x:c r="AP179" s="91"/>
      <x:c r="AQ179" s="91"/>
      <x:c r="AR179" s="91"/>
      <x:c r="AS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  <x:c r="AA180" s="91"/>
      <x:c r="AB180" s="91"/>
      <x:c r="AC180" s="91"/>
      <x:c r="AD180" s="91"/>
      <x:c r="AE180" s="91"/>
      <x:c r="AF180" s="91"/>
      <x:c r="AG180" s="91"/>
      <x:c r="AH180" s="91"/>
      <x:c r="AI180" s="91"/>
      <x:c r="AJ180" s="91"/>
      <x:c r="AK180" s="91"/>
      <x:c r="AL180" s="91"/>
      <x:c r="AM180" s="91"/>
      <x:c r="AN180" s="91"/>
      <x:c r="AO180" s="91"/>
      <x:c r="AP180" s="91"/>
      <x:c r="AQ180" s="91"/>
      <x:c r="AR180" s="91"/>
      <x:c r="AS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  <x:c r="AA181" s="91"/>
      <x:c r="AB181" s="91"/>
      <x:c r="AC181" s="91"/>
      <x:c r="AD181" s="91"/>
      <x:c r="AE181" s="91"/>
      <x:c r="AF181" s="91"/>
      <x:c r="AG181" s="91"/>
      <x:c r="AH181" s="91"/>
      <x:c r="AI181" s="91"/>
      <x:c r="AJ181" s="91"/>
      <x:c r="AK181" s="91"/>
      <x:c r="AL181" s="91"/>
      <x:c r="AM181" s="91"/>
      <x:c r="AN181" s="91"/>
      <x:c r="AO181" s="91"/>
      <x:c r="AP181" s="91"/>
      <x:c r="AQ181" s="91"/>
      <x:c r="AR181" s="91"/>
      <x:c r="AS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  <x:c r="AA182" s="91"/>
      <x:c r="AB182" s="91"/>
      <x:c r="AC182" s="91"/>
      <x:c r="AD182" s="91"/>
      <x:c r="AE182" s="91"/>
      <x:c r="AF182" s="91"/>
      <x:c r="AG182" s="91"/>
      <x:c r="AH182" s="91"/>
      <x:c r="AI182" s="91"/>
      <x:c r="AJ182" s="91"/>
      <x:c r="AK182" s="91"/>
      <x:c r="AL182" s="91"/>
      <x:c r="AM182" s="91"/>
      <x:c r="AN182" s="91"/>
      <x:c r="AO182" s="91"/>
      <x:c r="AP182" s="91"/>
      <x:c r="AQ182" s="91"/>
      <x:c r="AR182" s="91"/>
      <x:c r="AS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  <x:c r="AA183" s="91"/>
      <x:c r="AB183" s="91"/>
      <x:c r="AC183" s="91"/>
      <x:c r="AD183" s="91"/>
      <x:c r="AE183" s="91"/>
      <x:c r="AF183" s="91"/>
      <x:c r="AG183" s="91"/>
      <x:c r="AH183" s="91"/>
      <x:c r="AI183" s="91"/>
      <x:c r="AJ183" s="91"/>
      <x:c r="AK183" s="91"/>
      <x:c r="AL183" s="91"/>
      <x:c r="AM183" s="91"/>
      <x:c r="AN183" s="91"/>
      <x:c r="AO183" s="91"/>
      <x:c r="AP183" s="91"/>
      <x:c r="AQ183" s="91"/>
      <x:c r="AR183" s="91"/>
      <x:c r="AS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  <x:c r="AA184" s="91"/>
      <x:c r="AB184" s="91"/>
      <x:c r="AC184" s="91"/>
      <x:c r="AD184" s="91"/>
      <x:c r="AE184" s="91"/>
      <x:c r="AF184" s="91"/>
      <x:c r="AG184" s="91"/>
      <x:c r="AH184" s="91"/>
      <x:c r="AI184" s="91"/>
      <x:c r="AJ184" s="91"/>
      <x:c r="AK184" s="91"/>
      <x:c r="AL184" s="91"/>
      <x:c r="AM184" s="91"/>
      <x:c r="AN184" s="91"/>
      <x:c r="AO184" s="91"/>
      <x:c r="AP184" s="91"/>
      <x:c r="AQ184" s="91"/>
      <x:c r="AR184" s="91"/>
      <x:c r="AS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  <x:c r="AA185" s="91"/>
      <x:c r="AB185" s="91"/>
      <x:c r="AC185" s="91"/>
      <x:c r="AD185" s="91"/>
      <x:c r="AE185" s="91"/>
      <x:c r="AF185" s="91"/>
      <x:c r="AG185" s="91"/>
      <x:c r="AH185" s="91"/>
      <x:c r="AI185" s="91"/>
      <x:c r="AJ185" s="91"/>
      <x:c r="AK185" s="91"/>
      <x:c r="AL185" s="91"/>
      <x:c r="AM185" s="91"/>
      <x:c r="AN185" s="91"/>
      <x:c r="AO185" s="91"/>
      <x:c r="AP185" s="91"/>
      <x:c r="AQ185" s="91"/>
      <x:c r="AR185" s="91"/>
      <x:c r="AS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  <x:c r="AA186" s="91"/>
      <x:c r="AB186" s="91"/>
      <x:c r="AC186" s="91"/>
      <x:c r="AD186" s="91"/>
      <x:c r="AE186" s="91"/>
      <x:c r="AF186" s="91"/>
      <x:c r="AG186" s="91"/>
      <x:c r="AH186" s="91"/>
      <x:c r="AI186" s="91"/>
      <x:c r="AJ186" s="91"/>
      <x:c r="AK186" s="91"/>
      <x:c r="AL186" s="91"/>
      <x:c r="AM186" s="91"/>
      <x:c r="AN186" s="91"/>
      <x:c r="AO186" s="91"/>
      <x:c r="AP186" s="91"/>
      <x:c r="AQ186" s="91"/>
      <x:c r="AR186" s="91"/>
      <x:c r="AS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  <x:c r="AA187" s="91"/>
      <x:c r="AB187" s="91"/>
      <x:c r="AC187" s="91"/>
      <x:c r="AD187" s="91"/>
      <x:c r="AE187" s="91"/>
      <x:c r="AF187" s="91"/>
      <x:c r="AG187" s="91"/>
      <x:c r="AH187" s="91"/>
      <x:c r="AI187" s="91"/>
      <x:c r="AJ187" s="91"/>
      <x:c r="AK187" s="91"/>
      <x:c r="AL187" s="91"/>
      <x:c r="AM187" s="91"/>
      <x:c r="AN187" s="91"/>
      <x:c r="AO187" s="91"/>
      <x:c r="AP187" s="91"/>
      <x:c r="AQ187" s="91"/>
      <x:c r="AR187" s="91"/>
      <x:c r="AS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  <x:c r="AA188" s="91"/>
      <x:c r="AB188" s="91"/>
      <x:c r="AC188" s="91"/>
      <x:c r="AD188" s="91"/>
      <x:c r="AE188" s="91"/>
      <x:c r="AF188" s="91"/>
      <x:c r="AG188" s="91"/>
      <x:c r="AH188" s="91"/>
      <x:c r="AI188" s="91"/>
      <x:c r="AJ188" s="91"/>
      <x:c r="AK188" s="91"/>
      <x:c r="AL188" s="91"/>
      <x:c r="AM188" s="91"/>
      <x:c r="AN188" s="91"/>
      <x:c r="AO188" s="91"/>
      <x:c r="AP188" s="91"/>
      <x:c r="AQ188" s="91"/>
      <x:c r="AR188" s="91"/>
      <x:c r="AS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  <x:c r="AA189" s="91"/>
      <x:c r="AB189" s="91"/>
      <x:c r="AC189" s="91"/>
      <x:c r="AD189" s="91"/>
      <x:c r="AE189" s="91"/>
      <x:c r="AF189" s="91"/>
      <x:c r="AG189" s="91"/>
      <x:c r="AH189" s="91"/>
      <x:c r="AI189" s="91"/>
      <x:c r="AJ189" s="91"/>
      <x:c r="AK189" s="91"/>
      <x:c r="AL189" s="91"/>
      <x:c r="AM189" s="91"/>
      <x:c r="AN189" s="91"/>
      <x:c r="AO189" s="91"/>
      <x:c r="AP189" s="91"/>
      <x:c r="AQ189" s="91"/>
      <x:c r="AR189" s="91"/>
      <x:c r="AS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  <x:c r="AA190" s="91"/>
      <x:c r="AB190" s="91"/>
      <x:c r="AC190" s="91"/>
      <x:c r="AD190" s="91"/>
      <x:c r="AE190" s="91"/>
      <x:c r="AF190" s="91"/>
      <x:c r="AG190" s="91"/>
      <x:c r="AH190" s="91"/>
      <x:c r="AI190" s="91"/>
      <x:c r="AJ190" s="91"/>
      <x:c r="AK190" s="91"/>
      <x:c r="AL190" s="91"/>
      <x:c r="AM190" s="91"/>
      <x:c r="AN190" s="91"/>
      <x:c r="AO190" s="91"/>
      <x:c r="AP190" s="91"/>
      <x:c r="AQ190" s="91"/>
      <x:c r="AR190" s="91"/>
      <x:c r="AS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  <x:c r="AA191" s="91"/>
      <x:c r="AB191" s="91"/>
      <x:c r="AC191" s="91"/>
      <x:c r="AD191" s="91"/>
      <x:c r="AE191" s="91"/>
      <x:c r="AF191" s="91"/>
      <x:c r="AG191" s="91"/>
      <x:c r="AH191" s="91"/>
      <x:c r="AI191" s="91"/>
      <x:c r="AJ191" s="91"/>
      <x:c r="AK191" s="91"/>
      <x:c r="AL191" s="91"/>
      <x:c r="AM191" s="91"/>
      <x:c r="AN191" s="91"/>
      <x:c r="AO191" s="91"/>
      <x:c r="AP191" s="91"/>
      <x:c r="AQ191" s="91"/>
      <x:c r="AR191" s="91"/>
      <x:c r="AS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  <x:c r="AA192" s="91"/>
      <x:c r="AB192" s="91"/>
      <x:c r="AC192" s="91"/>
      <x:c r="AD192" s="91"/>
      <x:c r="AE192" s="91"/>
      <x:c r="AF192" s="91"/>
      <x:c r="AG192" s="91"/>
      <x:c r="AH192" s="91"/>
      <x:c r="AI192" s="91"/>
      <x:c r="AJ192" s="91"/>
      <x:c r="AK192" s="91"/>
      <x:c r="AL192" s="91"/>
      <x:c r="AM192" s="91"/>
      <x:c r="AN192" s="91"/>
      <x:c r="AO192" s="91"/>
      <x:c r="AP192" s="91"/>
      <x:c r="AQ192" s="91"/>
      <x:c r="AR192" s="91"/>
      <x:c r="AS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  <x:c r="AA193" s="91"/>
      <x:c r="AB193" s="91"/>
      <x:c r="AC193" s="91"/>
      <x:c r="AD193" s="91"/>
      <x:c r="AE193" s="91"/>
      <x:c r="AF193" s="91"/>
      <x:c r="AG193" s="91"/>
      <x:c r="AH193" s="91"/>
      <x:c r="AI193" s="91"/>
      <x:c r="AJ193" s="91"/>
      <x:c r="AK193" s="91"/>
      <x:c r="AL193" s="91"/>
      <x:c r="AM193" s="91"/>
      <x:c r="AN193" s="91"/>
      <x:c r="AO193" s="91"/>
      <x:c r="AP193" s="91"/>
      <x:c r="AQ193" s="91"/>
      <x:c r="AR193" s="91"/>
      <x:c r="AS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  <x:c r="AA194" s="91"/>
      <x:c r="AB194" s="91"/>
      <x:c r="AC194" s="91"/>
      <x:c r="AD194" s="91"/>
      <x:c r="AE194" s="91"/>
      <x:c r="AF194" s="91"/>
      <x:c r="AG194" s="91"/>
      <x:c r="AH194" s="91"/>
      <x:c r="AI194" s="91"/>
      <x:c r="AJ194" s="91"/>
      <x:c r="AK194" s="91"/>
      <x:c r="AL194" s="91"/>
      <x:c r="AM194" s="91"/>
      <x:c r="AN194" s="91"/>
      <x:c r="AO194" s="91"/>
      <x:c r="AP194" s="91"/>
      <x:c r="AQ194" s="91"/>
      <x:c r="AR194" s="91"/>
      <x:c r="AS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  <x:c r="AA195" s="91"/>
      <x:c r="AB195" s="91"/>
      <x:c r="AC195" s="91"/>
      <x:c r="AD195" s="91"/>
      <x:c r="AE195" s="91"/>
      <x:c r="AF195" s="91"/>
      <x:c r="AG195" s="91"/>
      <x:c r="AH195" s="91"/>
      <x:c r="AI195" s="91"/>
      <x:c r="AJ195" s="91"/>
      <x:c r="AK195" s="91"/>
      <x:c r="AL195" s="91"/>
      <x:c r="AM195" s="91"/>
      <x:c r="AN195" s="91"/>
      <x:c r="AO195" s="91"/>
      <x:c r="AP195" s="91"/>
      <x:c r="AQ195" s="91"/>
      <x:c r="AR195" s="91"/>
      <x:c r="AS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  <x:c r="AA196" s="91"/>
      <x:c r="AB196" s="91"/>
      <x:c r="AC196" s="91"/>
      <x:c r="AD196" s="91"/>
      <x:c r="AE196" s="91"/>
      <x:c r="AF196" s="91"/>
      <x:c r="AG196" s="91"/>
      <x:c r="AH196" s="91"/>
      <x:c r="AI196" s="91"/>
      <x:c r="AJ196" s="91"/>
      <x:c r="AK196" s="91"/>
      <x:c r="AL196" s="91"/>
      <x:c r="AM196" s="91"/>
      <x:c r="AN196" s="91"/>
      <x:c r="AO196" s="91"/>
      <x:c r="AP196" s="91"/>
      <x:c r="AQ196" s="91"/>
      <x:c r="AR196" s="91"/>
      <x:c r="AS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  <x:c r="AA197" s="91"/>
      <x:c r="AB197" s="91"/>
      <x:c r="AC197" s="91"/>
      <x:c r="AD197" s="91"/>
      <x:c r="AE197" s="91"/>
      <x:c r="AF197" s="91"/>
      <x:c r="AG197" s="91"/>
      <x:c r="AH197" s="91"/>
      <x:c r="AI197" s="91"/>
      <x:c r="AJ197" s="91"/>
      <x:c r="AK197" s="91"/>
      <x:c r="AL197" s="91"/>
      <x:c r="AM197" s="91"/>
      <x:c r="AN197" s="91"/>
      <x:c r="AO197" s="91"/>
      <x:c r="AP197" s="91"/>
      <x:c r="AQ197" s="91"/>
      <x:c r="AR197" s="91"/>
      <x:c r="AS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  <x:c r="AA198" s="91"/>
      <x:c r="AB198" s="91"/>
      <x:c r="AC198" s="91"/>
      <x:c r="AD198" s="91"/>
      <x:c r="AE198" s="91"/>
      <x:c r="AF198" s="91"/>
      <x:c r="AG198" s="91"/>
      <x:c r="AH198" s="91"/>
      <x:c r="AI198" s="91"/>
      <x:c r="AJ198" s="91"/>
      <x:c r="AK198" s="91"/>
      <x:c r="AL198" s="91"/>
      <x:c r="AM198" s="91"/>
      <x:c r="AN198" s="91"/>
      <x:c r="AO198" s="91"/>
      <x:c r="AP198" s="91"/>
      <x:c r="AQ198" s="91"/>
      <x:c r="AR198" s="91"/>
      <x:c r="AS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  <x:c r="AA199" s="91"/>
      <x:c r="AB199" s="91"/>
      <x:c r="AC199" s="91"/>
      <x:c r="AD199" s="91"/>
      <x:c r="AE199" s="91"/>
      <x:c r="AF199" s="91"/>
      <x:c r="AG199" s="91"/>
      <x:c r="AH199" s="91"/>
      <x:c r="AI199" s="91"/>
      <x:c r="AJ199" s="91"/>
      <x:c r="AK199" s="91"/>
      <x:c r="AL199" s="91"/>
      <x:c r="AM199" s="91"/>
      <x:c r="AN199" s="91"/>
      <x:c r="AO199" s="91"/>
      <x:c r="AP199" s="91"/>
      <x:c r="AQ199" s="91"/>
      <x:c r="AR199" s="91"/>
      <x:c r="AS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  <x:c r="AA200" s="91"/>
      <x:c r="AB200" s="91"/>
      <x:c r="AC200" s="91"/>
      <x:c r="AD200" s="91"/>
      <x:c r="AE200" s="91"/>
      <x:c r="AF200" s="91"/>
      <x:c r="AG200" s="91"/>
      <x:c r="AH200" s="91"/>
      <x:c r="AI200" s="91"/>
      <x:c r="AJ200" s="91"/>
      <x:c r="AK200" s="91"/>
      <x:c r="AL200" s="91"/>
      <x:c r="AM200" s="91"/>
      <x:c r="AN200" s="91"/>
      <x:c r="AO200" s="91"/>
      <x:c r="AP200" s="91"/>
      <x:c r="AQ200" s="91"/>
      <x:c r="AR200" s="91"/>
      <x:c r="AS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  <x:c r="AA201" s="91"/>
      <x:c r="AB201" s="91"/>
      <x:c r="AC201" s="91"/>
      <x:c r="AD201" s="91"/>
      <x:c r="AE201" s="91"/>
      <x:c r="AF201" s="91"/>
      <x:c r="AG201" s="91"/>
      <x:c r="AH201" s="91"/>
      <x:c r="AI201" s="91"/>
      <x:c r="AJ201" s="91"/>
      <x:c r="AK201" s="91"/>
      <x:c r="AL201" s="91"/>
      <x:c r="AM201" s="91"/>
      <x:c r="AN201" s="91"/>
      <x:c r="AO201" s="91"/>
      <x:c r="AP201" s="91"/>
      <x:c r="AQ201" s="91"/>
      <x:c r="AR201" s="91"/>
      <x:c r="AS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  <x:c r="AA202" s="91"/>
      <x:c r="AB202" s="91"/>
      <x:c r="AC202" s="91"/>
      <x:c r="AD202" s="91"/>
      <x:c r="AE202" s="91"/>
      <x:c r="AF202" s="91"/>
      <x:c r="AG202" s="91"/>
      <x:c r="AH202" s="91"/>
      <x:c r="AI202" s="91"/>
      <x:c r="AJ202" s="91"/>
      <x:c r="AK202" s="91"/>
      <x:c r="AL202" s="91"/>
      <x:c r="AM202" s="91"/>
      <x:c r="AN202" s="91"/>
      <x:c r="AO202" s="91"/>
      <x:c r="AP202" s="91"/>
      <x:c r="AQ202" s="91"/>
      <x:c r="AR202" s="91"/>
      <x:c r="AS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  <x:c r="AA203" s="91"/>
      <x:c r="AB203" s="91"/>
      <x:c r="AC203" s="91"/>
      <x:c r="AD203" s="91"/>
      <x:c r="AE203" s="91"/>
      <x:c r="AF203" s="91"/>
      <x:c r="AG203" s="91"/>
      <x:c r="AH203" s="91"/>
      <x:c r="AI203" s="91"/>
      <x:c r="AJ203" s="91"/>
      <x:c r="AK203" s="91"/>
      <x:c r="AL203" s="91"/>
      <x:c r="AM203" s="91"/>
      <x:c r="AN203" s="91"/>
      <x:c r="AO203" s="91"/>
      <x:c r="AP203" s="91"/>
      <x:c r="AQ203" s="91"/>
      <x:c r="AR203" s="91"/>
      <x:c r="AS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  <x:c r="AA204" s="91"/>
      <x:c r="AB204" s="91"/>
      <x:c r="AC204" s="91"/>
      <x:c r="AD204" s="91"/>
      <x:c r="AE204" s="91"/>
      <x:c r="AF204" s="91"/>
      <x:c r="AG204" s="91"/>
      <x:c r="AH204" s="91"/>
      <x:c r="AI204" s="91"/>
      <x:c r="AJ204" s="91"/>
      <x:c r="AK204" s="91"/>
      <x:c r="AL204" s="91"/>
      <x:c r="AM204" s="91"/>
      <x:c r="AN204" s="91"/>
      <x:c r="AO204" s="91"/>
      <x:c r="AP204" s="91"/>
      <x:c r="AQ204" s="91"/>
      <x:c r="AR204" s="91"/>
      <x:c r="AS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  <x:c r="AA205" s="91"/>
      <x:c r="AB205" s="91"/>
      <x:c r="AC205" s="91"/>
      <x:c r="AD205" s="91"/>
      <x:c r="AE205" s="91"/>
      <x:c r="AF205" s="91"/>
      <x:c r="AG205" s="91"/>
      <x:c r="AH205" s="91"/>
      <x:c r="AI205" s="91"/>
      <x:c r="AJ205" s="91"/>
      <x:c r="AK205" s="91"/>
      <x:c r="AL205" s="91"/>
      <x:c r="AM205" s="91"/>
      <x:c r="AN205" s="91"/>
      <x:c r="AO205" s="91"/>
      <x:c r="AP205" s="91"/>
      <x:c r="AQ205" s="91"/>
      <x:c r="AR205" s="91"/>
      <x:c r="AS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  <x:c r="AA206" s="91"/>
      <x:c r="AB206" s="91"/>
      <x:c r="AC206" s="91"/>
      <x:c r="AD206" s="91"/>
      <x:c r="AE206" s="91"/>
      <x:c r="AF206" s="91"/>
      <x:c r="AG206" s="91"/>
      <x:c r="AH206" s="91"/>
      <x:c r="AI206" s="91"/>
      <x:c r="AJ206" s="91"/>
      <x:c r="AK206" s="91"/>
      <x:c r="AL206" s="91"/>
      <x:c r="AM206" s="91"/>
      <x:c r="AN206" s="91"/>
      <x:c r="AO206" s="91"/>
      <x:c r="AP206" s="91"/>
      <x:c r="AQ206" s="91"/>
      <x:c r="AR206" s="91"/>
      <x:c r="AS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  <x:c r="AA207" s="91"/>
      <x:c r="AB207" s="91"/>
      <x:c r="AC207" s="91"/>
      <x:c r="AD207" s="91"/>
      <x:c r="AE207" s="91"/>
      <x:c r="AF207" s="91"/>
      <x:c r="AG207" s="91"/>
      <x:c r="AH207" s="91"/>
      <x:c r="AI207" s="91"/>
      <x:c r="AJ207" s="91"/>
      <x:c r="AK207" s="91"/>
      <x:c r="AL207" s="91"/>
      <x:c r="AM207" s="91"/>
      <x:c r="AN207" s="91"/>
      <x:c r="AO207" s="91"/>
      <x:c r="AP207" s="91"/>
      <x:c r="AQ207" s="91"/>
      <x:c r="AR207" s="91"/>
      <x:c r="AS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  <x:c r="AA208" s="91"/>
      <x:c r="AB208" s="91"/>
      <x:c r="AC208" s="91"/>
      <x:c r="AD208" s="91"/>
      <x:c r="AE208" s="91"/>
      <x:c r="AF208" s="91"/>
      <x:c r="AG208" s="91"/>
      <x:c r="AH208" s="91"/>
      <x:c r="AI208" s="91"/>
      <x:c r="AJ208" s="91"/>
      <x:c r="AK208" s="91"/>
      <x:c r="AL208" s="91"/>
      <x:c r="AM208" s="91"/>
      <x:c r="AN208" s="91"/>
      <x:c r="AO208" s="91"/>
      <x:c r="AP208" s="91"/>
      <x:c r="AQ208" s="91"/>
      <x:c r="AR208" s="91"/>
      <x:c r="AS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  <x:c r="AA209" s="91"/>
      <x:c r="AB209" s="91"/>
      <x:c r="AC209" s="91"/>
      <x:c r="AD209" s="91"/>
      <x:c r="AE209" s="91"/>
      <x:c r="AF209" s="91"/>
      <x:c r="AG209" s="91"/>
      <x:c r="AH209" s="91"/>
      <x:c r="AI209" s="91"/>
      <x:c r="AJ209" s="91"/>
      <x:c r="AK209" s="91"/>
      <x:c r="AL209" s="91"/>
      <x:c r="AM209" s="91"/>
      <x:c r="AN209" s="91"/>
      <x:c r="AO209" s="91"/>
      <x:c r="AP209" s="91"/>
      <x:c r="AQ209" s="91"/>
      <x:c r="AR209" s="91"/>
      <x:c r="AS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  <x:c r="AA210" s="91"/>
      <x:c r="AB210" s="91"/>
      <x:c r="AC210" s="91"/>
      <x:c r="AD210" s="91"/>
      <x:c r="AE210" s="91"/>
      <x:c r="AF210" s="91"/>
      <x:c r="AG210" s="91"/>
      <x:c r="AH210" s="91"/>
      <x:c r="AI210" s="91"/>
      <x:c r="AJ210" s="91"/>
      <x:c r="AK210" s="91"/>
      <x:c r="AL210" s="91"/>
      <x:c r="AM210" s="91"/>
      <x:c r="AN210" s="91"/>
      <x:c r="AO210" s="91"/>
      <x:c r="AP210" s="91"/>
      <x:c r="AQ210" s="91"/>
      <x:c r="AR210" s="91"/>
      <x:c r="AS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  <x:c r="AA211" s="91"/>
      <x:c r="AB211" s="91"/>
      <x:c r="AC211" s="91"/>
      <x:c r="AD211" s="91"/>
      <x:c r="AE211" s="91"/>
      <x:c r="AF211" s="91"/>
      <x:c r="AG211" s="91"/>
      <x:c r="AH211" s="91"/>
      <x:c r="AI211" s="91"/>
      <x:c r="AJ211" s="91"/>
      <x:c r="AK211" s="91"/>
      <x:c r="AL211" s="91"/>
      <x:c r="AM211" s="91"/>
      <x:c r="AN211" s="91"/>
      <x:c r="AO211" s="91"/>
      <x:c r="AP211" s="91"/>
      <x:c r="AQ211" s="91"/>
      <x:c r="AR211" s="91"/>
      <x:c r="AS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  <x:c r="AA212" s="91"/>
      <x:c r="AB212" s="91"/>
      <x:c r="AC212" s="91"/>
      <x:c r="AD212" s="91"/>
      <x:c r="AE212" s="91"/>
      <x:c r="AF212" s="91"/>
      <x:c r="AG212" s="91"/>
      <x:c r="AH212" s="91"/>
      <x:c r="AI212" s="91"/>
      <x:c r="AJ212" s="91"/>
      <x:c r="AK212" s="91"/>
      <x:c r="AL212" s="91"/>
      <x:c r="AM212" s="91"/>
      <x:c r="AN212" s="91"/>
      <x:c r="AO212" s="91"/>
      <x:c r="AP212" s="91"/>
      <x:c r="AQ212" s="91"/>
      <x:c r="AR212" s="91"/>
      <x:c r="AS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  <x:c r="AA213" s="91"/>
      <x:c r="AB213" s="91"/>
      <x:c r="AC213" s="91"/>
      <x:c r="AD213" s="91"/>
      <x:c r="AE213" s="91"/>
      <x:c r="AF213" s="91"/>
      <x:c r="AG213" s="91"/>
      <x:c r="AH213" s="91"/>
      <x:c r="AI213" s="91"/>
      <x:c r="AJ213" s="91"/>
      <x:c r="AK213" s="91"/>
      <x:c r="AL213" s="91"/>
      <x:c r="AM213" s="91"/>
      <x:c r="AN213" s="91"/>
      <x:c r="AO213" s="91"/>
      <x:c r="AP213" s="91"/>
      <x:c r="AQ213" s="91"/>
      <x:c r="AR213" s="91"/>
      <x:c r="AS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  <x:c r="AA214" s="91"/>
      <x:c r="AB214" s="91"/>
      <x:c r="AC214" s="91"/>
      <x:c r="AD214" s="91"/>
      <x:c r="AE214" s="91"/>
      <x:c r="AF214" s="91"/>
      <x:c r="AG214" s="91"/>
      <x:c r="AH214" s="91"/>
      <x:c r="AI214" s="91"/>
      <x:c r="AJ214" s="91"/>
      <x:c r="AK214" s="91"/>
      <x:c r="AL214" s="91"/>
      <x:c r="AM214" s="91"/>
      <x:c r="AN214" s="91"/>
      <x:c r="AO214" s="91"/>
      <x:c r="AP214" s="91"/>
      <x:c r="AQ214" s="91"/>
      <x:c r="AR214" s="91"/>
      <x:c r="AS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  <x:c r="AA215" s="91"/>
      <x:c r="AB215" s="91"/>
      <x:c r="AC215" s="91"/>
      <x:c r="AD215" s="91"/>
      <x:c r="AE215" s="91"/>
      <x:c r="AF215" s="91"/>
      <x:c r="AG215" s="91"/>
      <x:c r="AH215" s="91"/>
      <x:c r="AI215" s="91"/>
      <x:c r="AJ215" s="91"/>
      <x:c r="AK215" s="91"/>
      <x:c r="AL215" s="91"/>
      <x:c r="AM215" s="91"/>
      <x:c r="AN215" s="91"/>
      <x:c r="AO215" s="91"/>
      <x:c r="AP215" s="91"/>
      <x:c r="AQ215" s="91"/>
      <x:c r="AR215" s="91"/>
      <x:c r="AS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  <x:c r="AA216" s="91"/>
      <x:c r="AB216" s="91"/>
      <x:c r="AC216" s="91"/>
      <x:c r="AD216" s="91"/>
      <x:c r="AE216" s="91"/>
      <x:c r="AF216" s="91"/>
      <x:c r="AG216" s="91"/>
      <x:c r="AH216" s="91"/>
      <x:c r="AI216" s="91"/>
      <x:c r="AJ216" s="91"/>
      <x:c r="AK216" s="91"/>
      <x:c r="AL216" s="91"/>
      <x:c r="AM216" s="91"/>
      <x:c r="AN216" s="91"/>
      <x:c r="AO216" s="91"/>
      <x:c r="AP216" s="91"/>
      <x:c r="AQ216" s="91"/>
      <x:c r="AR216" s="91"/>
      <x:c r="AS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  <x:c r="AA217" s="91"/>
      <x:c r="AB217" s="91"/>
      <x:c r="AC217" s="91"/>
      <x:c r="AD217" s="91"/>
      <x:c r="AE217" s="91"/>
      <x:c r="AF217" s="91"/>
      <x:c r="AG217" s="91"/>
      <x:c r="AH217" s="91"/>
      <x:c r="AI217" s="91"/>
      <x:c r="AJ217" s="91"/>
      <x:c r="AK217" s="91"/>
      <x:c r="AL217" s="91"/>
      <x:c r="AM217" s="91"/>
      <x:c r="AN217" s="91"/>
      <x:c r="AO217" s="91"/>
      <x:c r="AP217" s="91"/>
      <x:c r="AQ217" s="91"/>
      <x:c r="AR217" s="91"/>
      <x:c r="AS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  <x:c r="AA218" s="91"/>
      <x:c r="AB218" s="91"/>
      <x:c r="AC218" s="91"/>
      <x:c r="AD218" s="91"/>
      <x:c r="AE218" s="91"/>
      <x:c r="AF218" s="91"/>
      <x:c r="AG218" s="91"/>
      <x:c r="AH218" s="91"/>
      <x:c r="AI218" s="91"/>
      <x:c r="AJ218" s="91"/>
      <x:c r="AK218" s="91"/>
      <x:c r="AL218" s="91"/>
      <x:c r="AM218" s="91"/>
      <x:c r="AN218" s="91"/>
      <x:c r="AO218" s="91"/>
      <x:c r="AP218" s="91"/>
      <x:c r="AQ218" s="91"/>
      <x:c r="AR218" s="91"/>
      <x:c r="AS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  <x:c r="AA219" s="91"/>
      <x:c r="AB219" s="91"/>
      <x:c r="AC219" s="91"/>
      <x:c r="AD219" s="91"/>
      <x:c r="AE219" s="91"/>
      <x:c r="AF219" s="91"/>
      <x:c r="AG219" s="91"/>
      <x:c r="AH219" s="91"/>
      <x:c r="AI219" s="91"/>
      <x:c r="AJ219" s="91"/>
      <x:c r="AK219" s="91"/>
      <x:c r="AL219" s="91"/>
      <x:c r="AM219" s="91"/>
      <x:c r="AN219" s="91"/>
      <x:c r="AO219" s="91"/>
      <x:c r="AP219" s="91"/>
      <x:c r="AQ219" s="91"/>
      <x:c r="AR219" s="91"/>
      <x:c r="AS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  <x:c r="AA220" s="91"/>
      <x:c r="AB220" s="91"/>
      <x:c r="AC220" s="91"/>
      <x:c r="AD220" s="91"/>
      <x:c r="AE220" s="91"/>
      <x:c r="AF220" s="91"/>
      <x:c r="AG220" s="91"/>
      <x:c r="AH220" s="91"/>
      <x:c r="AI220" s="91"/>
      <x:c r="AJ220" s="91"/>
      <x:c r="AK220" s="91"/>
      <x:c r="AL220" s="91"/>
      <x:c r="AM220" s="91"/>
      <x:c r="AN220" s="91"/>
      <x:c r="AO220" s="91"/>
      <x:c r="AP220" s="91"/>
      <x:c r="AQ220" s="91"/>
      <x:c r="AR220" s="91"/>
      <x:c r="AS220" s="91"/>
    </x:row>
  </x:sheetData>
  <x:mergeCells>
    <x:mergeCell ref="A1:J1"/>
    <x:mergeCell ref="A10:J10"/>
    <x:mergeCell ref="A11:J1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Source Status</x:v>
      </x:c>
      <x:c r="B1" t="str">
        <x:v>Source Type</x:v>
      </x:c>
      <x:c r="C1" t="str">
        <x:v>Method</x:v>
      </x:c>
      <x:c r="D1" t="str">
        <x:v>Direction</x:v>
      </x:c>
      <x:c r="E1" t="str">
        <x:v>Evidence Type</x:v>
      </x:c>
      <x:c r="F1" t="str">
        <x:v>YesNo</x:v>
      </x:c>
      <x:c r="G1" t="str">
        <x:v>Priority</x:v>
      </x:c>
      <x:c r="H1" t="str">
        <x:v>Status</x:v>
      </x:c>
      <x:c r="I1" t="str">
        <x:v>Gap Type</x:v>
      </x:c>
      <x:c r="J1" t="str">
        <x:v>Review Type</x:v>
      </x:c>
      <x:c r="K1" t="str">
        <x:v>Rating</x:v>
      </x:c>
    </x:row>
    <x:row r="2">
      <x:c r="A2" t="str">
        <x:v>Candidate</x:v>
      </x:c>
      <x:c r="B2" t="str">
        <x:v>Journal Article</x:v>
      </x:c>
      <x:c r="C2" t="str">
        <x:v>Qualitative / Thematic</x:v>
      </x:c>
      <x:c r="D2" t="str">
        <x:v>Supports</x:v>
      </x:c>
      <x:c r="E2" t="str">
        <x:v>Finding / Result</x:v>
      </x:c>
      <x:c r="F2" t="str">
        <x:v>Yes</x:v>
      </x:c>
      <x:c r="G2" t="str">
        <x:v>Low</x:v>
      </x:c>
      <x:c r="H2" t="str">
        <x:v>Not Started</x:v>
      </x:c>
      <x:c r="I2" t="str">
        <x:v>Population / Corpus</x:v>
      </x:c>
      <x:c r="J2" t="str">
        <x:v>Narrative Review</x:v>
      </x:c>
      <x:c r="K2" t="n">
        <x:v>1</x:v>
      </x:c>
    </x:row>
    <x:row r="3">
      <x:c r="A3" t="str">
        <x:v>Include</x:v>
      </x:c>
      <x:c r="B3" t="str">
        <x:v>Book</x:v>
      </x:c>
      <x:c r="C3" t="str">
        <x:v>Close Reading / Textual Analysis</x:v>
      </x:c>
      <x:c r="D3" t="str">
        <x:v>Contradicts</x:v>
      </x:c>
      <x:c r="E3" t="str">
        <x:v>Paraphrase</x:v>
      </x:c>
      <x:c r="F3" t="str">
        <x:v>No</x:v>
      </x:c>
      <x:c r="G3" t="str">
        <x:v>Medium</x:v>
      </x:c>
      <x:c r="H3" t="str">
        <x:v>In Progress</x:v>
      </x:c>
      <x:c r="I3" t="str">
        <x:v>Time</x:v>
      </x:c>
      <x:c r="J3" t="str">
        <x:v>Scoping Review</x:v>
      </x:c>
      <x:c r="K3" t="n">
        <x:v>2</x:v>
      </x:c>
    </x:row>
    <x:row r="4">
      <x:c r="A4" t="str">
        <x:v>Exclude</x:v>
      </x:c>
      <x:c r="B4" t="str">
        <x:v>Book Chapter</x:v>
      </x:c>
      <x:c r="C4" t="str">
        <x:v>Archival / Historical</x:v>
      </x:c>
      <x:c r="D4" t="str">
        <x:v>Complicates</x:v>
      </x:c>
      <x:c r="E4" t="str">
        <x:v>Direct Quote</x:v>
      </x:c>
      <x:c r="F4" t="str">
        <x:v>Unsure</x:v>
      </x:c>
      <x:c r="G4" t="str">
        <x:v>High</x:v>
      </x:c>
      <x:c r="H4" t="str">
        <x:v>Complete</x:v>
      </x:c>
      <x:c r="I4" t="str">
        <x:v>Method</x:v>
      </x:c>
      <x:c r="J4" t="str">
        <x:v>Systematic-Style Review</x:v>
      </x:c>
      <x:c r="K4" t="n">
        <x:v>3</x:v>
      </x:c>
    </x:row>
    <x:row r="5">
      <x:c r="A5" t="str">
        <x:v>Background</x:v>
      </x:c>
      <x:c r="B5" t="str">
        <x:v>Report</x:v>
      </x:c>
      <x:c r="C5" t="str">
        <x:v>Survey</x:v>
      </x:c>
      <x:c r="D5" t="str">
        <x:v>Context</x:v>
      </x:c>
      <x:c r="E5" t="str">
        <x:v>Definition / Concept</x:v>
      </x:c>
      <x:c r="G5" t="str">
        <x:v>Critical</x:v>
      </x:c>
      <x:c r="H5" t="str">
        <x:v>Needs Review</x:v>
      </x:c>
      <x:c r="I5" t="str">
        <x:v>Theory / Framework</x:v>
      </x:c>
      <x:c r="J5" t="str">
        <x:v>Thesis / Dissertation Review</x:v>
      </x:c>
      <x:c r="K5" t="n">
        <x:v>4</x:v>
      </x:c>
    </x:row>
    <x:row r="6">
      <x:c r="A6" t="str">
        <x:v>Needs Review</x:v>
      </x:c>
      <x:c r="B6" t="str">
        <x:v>Webpage</x:v>
      </x:c>
      <x:c r="C6" t="str">
        <x:v>Interview / Focus Group</x:v>
      </x:c>
      <x:c r="D6" t="str">
        <x:v>Not Directional</x:v>
      </x:c>
      <x:c r="E6" t="str">
        <x:v>Method</x:v>
      </x:c>
      <x:c r="H6" t="str">
        <x:v>Blocked</x:v>
      </x:c>
      <x:c r="I6" t="str">
        <x:v>Data</x:v>
      </x:c>
      <x:c r="J6" t="str">
        <x:v>Applied / Policy Review</x:v>
      </x:c>
      <x:c r="K6" t="n">
        <x:v>5</x:v>
      </x:c>
    </x:row>
    <x:row r="7">
      <x:c r="B7" t="str">
        <x:v>Dataset</x:v>
      </x:c>
      <x:c r="C7" t="str">
        <x:v>Experimental / Quasi-Experimental</x:v>
      </x:c>
      <x:c r="E7" t="str">
        <x:v>Interpretive Note</x:v>
      </x:c>
      <x:c r="H7" t="str">
        <x:v>Not Applicable</x:v>
      </x:c>
      <x:c r="I7" t="str">
        <x:v>Geography / Context</x:v>
      </x:c>
    </x:row>
    <x:row r="8">
      <x:c r="B8" t="str">
        <x:v>Thesis / Dissertation</x:v>
      </x:c>
      <x:c r="C8" t="str">
        <x:v>Observational</x:v>
      </x:c>
      <x:c r="I8" t="str">
        <x:v>Contradiction</x:v>
      </x:c>
    </x:row>
    <x:row r="9">
      <x:c r="B9" t="str">
        <x:v>Conference Paper</x:v>
      </x:c>
      <x:c r="C9" t="str">
        <x:v>Statistical / Quantitative</x:v>
      </x:c>
      <x:c r="I9" t="str">
        <x:v>Missing Evidence</x:v>
      </x:c>
    </x:row>
    <x:row r="10">
      <x:c r="B10" t="str">
        <x:v>Primary / Archival</x:v>
      </x:c>
      <x:c r="C10" t="str">
        <x:v>Mixed Methods</x:v>
      </x:c>
      <x:c r="I10" t="str">
        <x:v>Applicability</x:v>
      </x:c>
    </x:row>
    <x:row r="11">
      <x:c r="B11" t="str">
        <x:v>Other</x:v>
      </x:c>
      <x:c r="C11" t="str">
        <x:v>Review / Meta-Analysis</x:v>
      </x:c>
      <x:c r="I11" t="str">
        <x:v>Other</x:v>
      </x:c>
    </x:row>
    <x:row r="12">
      <x:c r="C12" t="str">
        <x:v>Case Study</x:v>
      </x:c>
    </x:row>
    <x:row r="13">
      <x:c r="C13" t="str">
        <x:v>Other</x:v>
      </x:c>
    </x:row>
  </x:sheetData>
  <x:pageMargins left="0.7" right="0.7" top="0.75" bottom="0.75" header="0.3" footer="0.3"/>
</x:worksheet>
</file>